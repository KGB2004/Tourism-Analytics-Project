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3bf516fa3232c8/Desktop/SHORT/Documents/MBA/TRIMESTER 3/ABA/"/>
    </mc:Choice>
  </mc:AlternateContent>
  <xr:revisionPtr revIDLastSave="138" documentId="11_F25DC773A252ABDACC1048BDC11F63425BDE58E3" xr6:coauthVersionLast="47" xr6:coauthVersionMax="47" xr10:uidLastSave="{E3764A42-0093-4496-B041-4BEB1EF16C0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8" i="1" l="1"/>
  <c r="D436" i="1"/>
  <c r="D435" i="1"/>
  <c r="P59" i="1" s="1"/>
  <c r="O209" i="1"/>
  <c r="O262" i="1"/>
  <c r="O431" i="1"/>
  <c r="E436" i="1"/>
  <c r="E435" i="1"/>
  <c r="O58" i="1" s="1"/>
  <c r="N205" i="1"/>
  <c r="C436" i="1"/>
  <c r="C435" i="1"/>
  <c r="N262" i="1" s="1"/>
  <c r="M369" i="1"/>
  <c r="B436" i="1"/>
  <c r="B435" i="1"/>
  <c r="M17" i="1" s="1"/>
  <c r="L352" i="1"/>
  <c r="A436" i="1"/>
  <c r="A435" i="1"/>
  <c r="L35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2" i="1"/>
  <c r="L339" i="1" l="1"/>
  <c r="M368" i="1"/>
  <c r="O420" i="1"/>
  <c r="O194" i="1"/>
  <c r="P413" i="1"/>
  <c r="L326" i="1"/>
  <c r="M236" i="1"/>
  <c r="O418" i="1"/>
  <c r="O191" i="1"/>
  <c r="P394" i="1"/>
  <c r="L313" i="1"/>
  <c r="M221" i="1"/>
  <c r="O368" i="1"/>
  <c r="O130" i="1"/>
  <c r="P389" i="1"/>
  <c r="L194" i="1"/>
  <c r="M39" i="1"/>
  <c r="O367" i="1"/>
  <c r="O128" i="1"/>
  <c r="P332" i="1"/>
  <c r="L179" i="1"/>
  <c r="O365" i="1"/>
  <c r="O123" i="1"/>
  <c r="P331" i="1"/>
  <c r="O317" i="1"/>
  <c r="O57" i="1"/>
  <c r="P329" i="1"/>
  <c r="N154" i="1"/>
  <c r="O314" i="1"/>
  <c r="O54" i="1"/>
  <c r="P308" i="1"/>
  <c r="L164" i="1"/>
  <c r="L150" i="1"/>
  <c r="L20" i="1"/>
  <c r="N234" i="1"/>
  <c r="O299" i="1"/>
  <c r="O30" i="1"/>
  <c r="P305" i="1"/>
  <c r="L6" i="1"/>
  <c r="P236" i="1"/>
  <c r="O261" i="1"/>
  <c r="P232" i="1"/>
  <c r="M225" i="1"/>
  <c r="O53" i="1"/>
  <c r="O247" i="1"/>
  <c r="P421" i="1"/>
  <c r="P197" i="1"/>
  <c r="M13" i="1"/>
  <c r="M355" i="1"/>
  <c r="M205" i="1"/>
  <c r="N175" i="1"/>
  <c r="O419" i="1"/>
  <c r="O366" i="1"/>
  <c r="O312" i="1"/>
  <c r="O248" i="1"/>
  <c r="O192" i="1"/>
  <c r="O124" i="1"/>
  <c r="O34" i="1"/>
  <c r="P230" i="1"/>
  <c r="M354" i="1"/>
  <c r="M188" i="1"/>
  <c r="L300" i="1"/>
  <c r="L136" i="1"/>
  <c r="M427" i="1"/>
  <c r="M340" i="1"/>
  <c r="M173" i="1"/>
  <c r="N2" i="1"/>
  <c r="N123" i="1"/>
  <c r="O417" i="1"/>
  <c r="O351" i="1"/>
  <c r="O298" i="1"/>
  <c r="O246" i="1"/>
  <c r="O190" i="1"/>
  <c r="O102" i="1"/>
  <c r="O28" i="1"/>
  <c r="P193" i="1"/>
  <c r="L40" i="1"/>
  <c r="L287" i="1"/>
  <c r="L122" i="1"/>
  <c r="M426" i="1"/>
  <c r="M325" i="1"/>
  <c r="M157" i="1"/>
  <c r="N409" i="1"/>
  <c r="N92" i="1"/>
  <c r="O404" i="1"/>
  <c r="O350" i="1"/>
  <c r="O296" i="1"/>
  <c r="O245" i="1"/>
  <c r="O174" i="1"/>
  <c r="O101" i="1"/>
  <c r="O10" i="1"/>
  <c r="P388" i="1"/>
  <c r="P302" i="1"/>
  <c r="P182" i="1"/>
  <c r="L431" i="1"/>
  <c r="L274" i="1"/>
  <c r="L107" i="1"/>
  <c r="M413" i="1"/>
  <c r="M310" i="1"/>
  <c r="M140" i="1"/>
  <c r="N383" i="1"/>
  <c r="N61" i="1"/>
  <c r="O403" i="1"/>
  <c r="O348" i="1"/>
  <c r="O295" i="1"/>
  <c r="O230" i="1"/>
  <c r="O170" i="1"/>
  <c r="O100" i="1"/>
  <c r="O9" i="1"/>
  <c r="P385" i="1"/>
  <c r="P299" i="1"/>
  <c r="P144" i="1"/>
  <c r="L418" i="1"/>
  <c r="L260" i="1"/>
  <c r="L92" i="1"/>
  <c r="M412" i="1"/>
  <c r="M296" i="1"/>
  <c r="M125" i="1"/>
  <c r="N357" i="1"/>
  <c r="N29" i="1"/>
  <c r="O401" i="1"/>
  <c r="O347" i="1"/>
  <c r="O281" i="1"/>
  <c r="O227" i="1"/>
  <c r="O168" i="1"/>
  <c r="O84" i="1"/>
  <c r="O8" i="1"/>
  <c r="P365" i="1"/>
  <c r="P274" i="1"/>
  <c r="P143" i="1"/>
  <c r="L404" i="1"/>
  <c r="L247" i="1"/>
  <c r="L78" i="1"/>
  <c r="M399" i="1"/>
  <c r="M282" i="1"/>
  <c r="M109" i="1"/>
  <c r="N336" i="1"/>
  <c r="O399" i="1"/>
  <c r="O333" i="1"/>
  <c r="O279" i="1"/>
  <c r="O226" i="1"/>
  <c r="O152" i="1"/>
  <c r="O81" i="1"/>
  <c r="O6" i="1"/>
  <c r="P364" i="1"/>
  <c r="P272" i="1"/>
  <c r="P142" i="1"/>
  <c r="L391" i="1"/>
  <c r="L234" i="1"/>
  <c r="L64" i="1"/>
  <c r="M397" i="1"/>
  <c r="M272" i="1"/>
  <c r="M91" i="1"/>
  <c r="N310" i="1"/>
  <c r="O384" i="1"/>
  <c r="O332" i="1"/>
  <c r="O278" i="1"/>
  <c r="O213" i="1"/>
  <c r="O150" i="1"/>
  <c r="O76" i="1"/>
  <c r="P361" i="1"/>
  <c r="P271" i="1"/>
  <c r="P72" i="1"/>
  <c r="L378" i="1"/>
  <c r="L221" i="1"/>
  <c r="L50" i="1"/>
  <c r="M384" i="1"/>
  <c r="M268" i="1"/>
  <c r="M75" i="1"/>
  <c r="N284" i="1"/>
  <c r="O2" i="1"/>
  <c r="O382" i="1"/>
  <c r="O331" i="1"/>
  <c r="O264" i="1"/>
  <c r="O212" i="1"/>
  <c r="O149" i="1"/>
  <c r="O75" i="1"/>
  <c r="P356" i="1"/>
  <c r="P269" i="1"/>
  <c r="P62" i="1"/>
  <c r="L365" i="1"/>
  <c r="L208" i="1"/>
  <c r="M382" i="1"/>
  <c r="M253" i="1"/>
  <c r="M55" i="1"/>
  <c r="O432" i="1"/>
  <c r="O381" i="1"/>
  <c r="O318" i="1"/>
  <c r="O263" i="1"/>
  <c r="O210" i="1"/>
  <c r="O148" i="1"/>
  <c r="P424" i="1"/>
  <c r="P335" i="1"/>
  <c r="P238" i="1"/>
  <c r="P61" i="1"/>
  <c r="L432" i="1"/>
  <c r="L419" i="1"/>
  <c r="L406" i="1"/>
  <c r="L392" i="1"/>
  <c r="L379" i="1"/>
  <c r="L366" i="1"/>
  <c r="L353" i="1"/>
  <c r="L340" i="1"/>
  <c r="L327" i="1"/>
  <c r="L314" i="1"/>
  <c r="L301" i="1"/>
  <c r="L288" i="1"/>
  <c r="L275" i="1"/>
  <c r="L262" i="1"/>
  <c r="L248" i="1"/>
  <c r="L235" i="1"/>
  <c r="L222" i="1"/>
  <c r="L209" i="1"/>
  <c r="L195" i="1"/>
  <c r="L181" i="1"/>
  <c r="L166" i="1"/>
  <c r="L151" i="1"/>
  <c r="L137" i="1"/>
  <c r="L123" i="1"/>
  <c r="L109" i="1"/>
  <c r="L94" i="1"/>
  <c r="L79" i="1"/>
  <c r="L65" i="1"/>
  <c r="L51" i="1"/>
  <c r="L37" i="1"/>
  <c r="L22" i="1"/>
  <c r="L7" i="1"/>
  <c r="M341" i="1"/>
  <c r="M327" i="1"/>
  <c r="M312" i="1"/>
  <c r="M297" i="1"/>
  <c r="M283" i="1"/>
  <c r="M269" i="1"/>
  <c r="M255" i="1"/>
  <c r="M237" i="1"/>
  <c r="M222" i="1"/>
  <c r="M207" i="1"/>
  <c r="M189" i="1"/>
  <c r="M174" i="1"/>
  <c r="M159" i="1"/>
  <c r="M141" i="1"/>
  <c r="M126" i="1"/>
  <c r="M111" i="1"/>
  <c r="M92" i="1"/>
  <c r="M76" i="1"/>
  <c r="M56" i="1"/>
  <c r="M40" i="1"/>
  <c r="M18" i="1"/>
  <c r="N403" i="1"/>
  <c r="N415" i="1"/>
  <c r="N427" i="1"/>
  <c r="N4" i="1"/>
  <c r="N20" i="1"/>
  <c r="N37" i="1"/>
  <c r="N52" i="1"/>
  <c r="N67" i="1"/>
  <c r="N82" i="1"/>
  <c r="N99" i="1"/>
  <c r="N115" i="1"/>
  <c r="N130" i="1"/>
  <c r="N146" i="1"/>
  <c r="N161" i="1"/>
  <c r="N177" i="1"/>
  <c r="N194" i="1"/>
  <c r="N209" i="1"/>
  <c r="N224" i="1"/>
  <c r="N240" i="1"/>
  <c r="N256" i="1"/>
  <c r="N272" i="1"/>
  <c r="N286" i="1"/>
  <c r="N300" i="1"/>
  <c r="N314" i="1"/>
  <c r="N329" i="1"/>
  <c r="N344" i="1"/>
  <c r="N358" i="1"/>
  <c r="N372" i="1"/>
  <c r="N386" i="1"/>
  <c r="N401" i="1"/>
  <c r="N416" i="1"/>
  <c r="N430" i="1"/>
  <c r="N5" i="1"/>
  <c r="N21" i="1"/>
  <c r="N38" i="1"/>
  <c r="N53" i="1"/>
  <c r="N68" i="1"/>
  <c r="N84" i="1"/>
  <c r="N100" i="1"/>
  <c r="N116" i="1"/>
  <c r="N132" i="1"/>
  <c r="N147" i="1"/>
  <c r="N162" i="1"/>
  <c r="N178" i="1"/>
  <c r="N195" i="1"/>
  <c r="N210" i="1"/>
  <c r="N225" i="1"/>
  <c r="N241" i="1"/>
  <c r="N257" i="1"/>
  <c r="N273" i="1"/>
  <c r="N287" i="1"/>
  <c r="N301" i="1"/>
  <c r="N315" i="1"/>
  <c r="N330" i="1"/>
  <c r="N345" i="1"/>
  <c r="N359" i="1"/>
  <c r="N373" i="1"/>
  <c r="N387" i="1"/>
  <c r="N402" i="1"/>
  <c r="N417" i="1"/>
  <c r="N431" i="1"/>
  <c r="N7" i="1"/>
  <c r="N24" i="1"/>
  <c r="N39" i="1"/>
  <c r="N54" i="1"/>
  <c r="N69" i="1"/>
  <c r="N86" i="1"/>
  <c r="N102" i="1"/>
  <c r="N117" i="1"/>
  <c r="N133" i="1"/>
  <c r="N148" i="1"/>
  <c r="N164" i="1"/>
  <c r="N181" i="1"/>
  <c r="N196" i="1"/>
  <c r="N211" i="1"/>
  <c r="N226" i="1"/>
  <c r="N243" i="1"/>
  <c r="N259" i="1"/>
  <c r="N274" i="1"/>
  <c r="N288" i="1"/>
  <c r="N302" i="1"/>
  <c r="N317" i="1"/>
  <c r="N332" i="1"/>
  <c r="N346" i="1"/>
  <c r="N360" i="1"/>
  <c r="N374" i="1"/>
  <c r="N389" i="1"/>
  <c r="N404" i="1"/>
  <c r="N418" i="1"/>
  <c r="N432" i="1"/>
  <c r="N8" i="1"/>
  <c r="N25" i="1"/>
  <c r="N40" i="1"/>
  <c r="N55" i="1"/>
  <c r="N70" i="1"/>
  <c r="N87" i="1"/>
  <c r="N103" i="1"/>
  <c r="N118" i="1"/>
  <c r="N134" i="1"/>
  <c r="N149" i="1"/>
  <c r="N165" i="1"/>
  <c r="N182" i="1"/>
  <c r="N197" i="1"/>
  <c r="N212" i="1"/>
  <c r="N228" i="1"/>
  <c r="N244" i="1"/>
  <c r="N260" i="1"/>
  <c r="N275" i="1"/>
  <c r="N289" i="1"/>
  <c r="N303" i="1"/>
  <c r="N318" i="1"/>
  <c r="N333" i="1"/>
  <c r="N347" i="1"/>
  <c r="N361" i="1"/>
  <c r="N375" i="1"/>
  <c r="N390" i="1"/>
  <c r="N405" i="1"/>
  <c r="N419" i="1"/>
  <c r="N433" i="1"/>
  <c r="N10" i="1"/>
  <c r="N26" i="1"/>
  <c r="N41" i="1"/>
  <c r="N56" i="1"/>
  <c r="N73" i="1"/>
  <c r="N89" i="1"/>
  <c r="N104" i="1"/>
  <c r="N120" i="1"/>
  <c r="N135" i="1"/>
  <c r="N151" i="1"/>
  <c r="N168" i="1"/>
  <c r="N183" i="1"/>
  <c r="N198" i="1"/>
  <c r="N213" i="1"/>
  <c r="N230" i="1"/>
  <c r="N246" i="1"/>
  <c r="N261" i="1"/>
  <c r="N276" i="1"/>
  <c r="N290" i="1"/>
  <c r="N305" i="1"/>
  <c r="N320" i="1"/>
  <c r="N334" i="1"/>
  <c r="N348" i="1"/>
  <c r="N362" i="1"/>
  <c r="N377" i="1"/>
  <c r="N392" i="1"/>
  <c r="N406" i="1"/>
  <c r="N420" i="1"/>
  <c r="N12" i="1"/>
  <c r="N27" i="1"/>
  <c r="N42" i="1"/>
  <c r="N57" i="1"/>
  <c r="N74" i="1"/>
  <c r="N90" i="1"/>
  <c r="N105" i="1"/>
  <c r="N121" i="1"/>
  <c r="N136" i="1"/>
  <c r="N410" i="1"/>
  <c r="N384" i="1"/>
  <c r="N363" i="1"/>
  <c r="N337" i="1"/>
  <c r="N311" i="1"/>
  <c r="N285" i="1"/>
  <c r="N264" i="1"/>
  <c r="N235" i="1"/>
  <c r="N207" i="1"/>
  <c r="N184" i="1"/>
  <c r="N156" i="1"/>
  <c r="N125" i="1"/>
  <c r="N93" i="1"/>
  <c r="N63" i="1"/>
  <c r="N30" i="1"/>
  <c r="L430" i="1"/>
  <c r="L416" i="1"/>
  <c r="L403" i="1"/>
  <c r="L390" i="1"/>
  <c r="L377" i="1"/>
  <c r="L364" i="1"/>
  <c r="L351" i="1"/>
  <c r="L338" i="1"/>
  <c r="L325" i="1"/>
  <c r="L312" i="1"/>
  <c r="L299" i="1"/>
  <c r="L286" i="1"/>
  <c r="L272" i="1"/>
  <c r="L259" i="1"/>
  <c r="L246" i="1"/>
  <c r="L233" i="1"/>
  <c r="L220" i="1"/>
  <c r="L207" i="1"/>
  <c r="L193" i="1"/>
  <c r="L178" i="1"/>
  <c r="L163" i="1"/>
  <c r="L149" i="1"/>
  <c r="L135" i="1"/>
  <c r="L121" i="1"/>
  <c r="L106" i="1"/>
  <c r="L91" i="1"/>
  <c r="L77" i="1"/>
  <c r="L63" i="1"/>
  <c r="L49" i="1"/>
  <c r="L34" i="1"/>
  <c r="L19" i="1"/>
  <c r="L5" i="1"/>
  <c r="M425" i="1"/>
  <c r="M411" i="1"/>
  <c r="M396" i="1"/>
  <c r="M381" i="1"/>
  <c r="M367" i="1"/>
  <c r="M353" i="1"/>
  <c r="M339" i="1"/>
  <c r="M324" i="1"/>
  <c r="M309" i="1"/>
  <c r="M295" i="1"/>
  <c r="M281" i="1"/>
  <c r="M267" i="1"/>
  <c r="M250" i="1"/>
  <c r="M235" i="1"/>
  <c r="M220" i="1"/>
  <c r="M202" i="1"/>
  <c r="M187" i="1"/>
  <c r="M172" i="1"/>
  <c r="M154" i="1"/>
  <c r="M139" i="1"/>
  <c r="M124" i="1"/>
  <c r="M106" i="1"/>
  <c r="M90" i="1"/>
  <c r="M70" i="1"/>
  <c r="M54" i="1"/>
  <c r="M33" i="1"/>
  <c r="M16" i="1"/>
  <c r="N429" i="1"/>
  <c r="N408" i="1"/>
  <c r="N382" i="1"/>
  <c r="N356" i="1"/>
  <c r="N335" i="1"/>
  <c r="N309" i="1"/>
  <c r="N282" i="1"/>
  <c r="N254" i="1"/>
  <c r="N233" i="1"/>
  <c r="N204" i="1"/>
  <c r="N174" i="1"/>
  <c r="N152" i="1"/>
  <c r="N122" i="1"/>
  <c r="N91" i="1"/>
  <c r="N60" i="1"/>
  <c r="N28" i="1"/>
  <c r="L428" i="1"/>
  <c r="L415" i="1"/>
  <c r="L402" i="1"/>
  <c r="L389" i="1"/>
  <c r="L376" i="1"/>
  <c r="L363" i="1"/>
  <c r="L350" i="1"/>
  <c r="L337" i="1"/>
  <c r="L324" i="1"/>
  <c r="L311" i="1"/>
  <c r="L298" i="1"/>
  <c r="L284" i="1"/>
  <c r="L271" i="1"/>
  <c r="L258" i="1"/>
  <c r="L245" i="1"/>
  <c r="L232" i="1"/>
  <c r="L219" i="1"/>
  <c r="L206" i="1"/>
  <c r="L191" i="1"/>
  <c r="L176" i="1"/>
  <c r="L162" i="1"/>
  <c r="L148" i="1"/>
  <c r="L134" i="1"/>
  <c r="L119" i="1"/>
  <c r="L104" i="1"/>
  <c r="L90" i="1"/>
  <c r="L76" i="1"/>
  <c r="L62" i="1"/>
  <c r="L47" i="1"/>
  <c r="L32" i="1"/>
  <c r="L18" i="1"/>
  <c r="L4" i="1"/>
  <c r="M424" i="1"/>
  <c r="M409" i="1"/>
  <c r="M394" i="1"/>
  <c r="M380" i="1"/>
  <c r="M366" i="1"/>
  <c r="M352" i="1"/>
  <c r="M337" i="1"/>
  <c r="M322" i="1"/>
  <c r="M308" i="1"/>
  <c r="M294" i="1"/>
  <c r="M280" i="1"/>
  <c r="M265" i="1"/>
  <c r="M249" i="1"/>
  <c r="M234" i="1"/>
  <c r="M219" i="1"/>
  <c r="M201" i="1"/>
  <c r="M186" i="1"/>
  <c r="M171" i="1"/>
  <c r="M153" i="1"/>
  <c r="M138" i="1"/>
  <c r="M123" i="1"/>
  <c r="M105" i="1"/>
  <c r="M89" i="1"/>
  <c r="M69" i="1"/>
  <c r="M53" i="1"/>
  <c r="M32" i="1"/>
  <c r="M15" i="1"/>
  <c r="N428" i="1"/>
  <c r="N407" i="1"/>
  <c r="N381" i="1"/>
  <c r="N354" i="1"/>
  <c r="N327" i="1"/>
  <c r="N308" i="1"/>
  <c r="N281" i="1"/>
  <c r="N253" i="1"/>
  <c r="N231" i="1"/>
  <c r="N201" i="1"/>
  <c r="N173" i="1"/>
  <c r="N145" i="1"/>
  <c r="N113" i="1"/>
  <c r="N81" i="1"/>
  <c r="N51" i="1"/>
  <c r="N18" i="1"/>
  <c r="L427" i="1"/>
  <c r="L414" i="1"/>
  <c r="L401" i="1"/>
  <c r="L388" i="1"/>
  <c r="L375" i="1"/>
  <c r="L362" i="1"/>
  <c r="L349" i="1"/>
  <c r="L336" i="1"/>
  <c r="L323" i="1"/>
  <c r="L310" i="1"/>
  <c r="L296" i="1"/>
  <c r="L283" i="1"/>
  <c r="L270" i="1"/>
  <c r="L257" i="1"/>
  <c r="L244" i="1"/>
  <c r="L231" i="1"/>
  <c r="L218" i="1"/>
  <c r="L205" i="1"/>
  <c r="L190" i="1"/>
  <c r="L175" i="1"/>
  <c r="L161" i="1"/>
  <c r="L147" i="1"/>
  <c r="L133" i="1"/>
  <c r="L118" i="1"/>
  <c r="L103" i="1"/>
  <c r="L89" i="1"/>
  <c r="L75" i="1"/>
  <c r="L61" i="1"/>
  <c r="L46" i="1"/>
  <c r="L31" i="1"/>
  <c r="L17" i="1"/>
  <c r="L3" i="1"/>
  <c r="M423" i="1"/>
  <c r="M408" i="1"/>
  <c r="M393" i="1"/>
  <c r="M379" i="1"/>
  <c r="M365" i="1"/>
  <c r="M351" i="1"/>
  <c r="M336" i="1"/>
  <c r="M321" i="1"/>
  <c r="M307" i="1"/>
  <c r="M293" i="1"/>
  <c r="M279" i="1"/>
  <c r="M264" i="1"/>
  <c r="M248" i="1"/>
  <c r="M233" i="1"/>
  <c r="M217" i="1"/>
  <c r="M200" i="1"/>
  <c r="M185" i="1"/>
  <c r="M169" i="1"/>
  <c r="M152" i="1"/>
  <c r="M137" i="1"/>
  <c r="M121" i="1"/>
  <c r="M104" i="1"/>
  <c r="M88" i="1"/>
  <c r="M68" i="1"/>
  <c r="M52" i="1"/>
  <c r="M31" i="1"/>
  <c r="N426" i="1"/>
  <c r="N399" i="1"/>
  <c r="N380" i="1"/>
  <c r="N353" i="1"/>
  <c r="N326" i="1"/>
  <c r="N306" i="1"/>
  <c r="N279" i="1"/>
  <c r="N252" i="1"/>
  <c r="N223" i="1"/>
  <c r="N200" i="1"/>
  <c r="N172" i="1"/>
  <c r="N144" i="1"/>
  <c r="N112" i="1"/>
  <c r="N80" i="1"/>
  <c r="N50" i="1"/>
  <c r="N17" i="1"/>
  <c r="L426" i="1"/>
  <c r="L413" i="1"/>
  <c r="L400" i="1"/>
  <c r="L387" i="1"/>
  <c r="L374" i="1"/>
  <c r="L361" i="1"/>
  <c r="L348" i="1"/>
  <c r="L335" i="1"/>
  <c r="L322" i="1"/>
  <c r="L308" i="1"/>
  <c r="L295" i="1"/>
  <c r="L282" i="1"/>
  <c r="L269" i="1"/>
  <c r="L256" i="1"/>
  <c r="L243" i="1"/>
  <c r="L230" i="1"/>
  <c r="L217" i="1"/>
  <c r="L203" i="1"/>
  <c r="L188" i="1"/>
  <c r="L174" i="1"/>
  <c r="L160" i="1"/>
  <c r="L146" i="1"/>
  <c r="L131" i="1"/>
  <c r="L116" i="1"/>
  <c r="L102" i="1"/>
  <c r="L88" i="1"/>
  <c r="L74" i="1"/>
  <c r="L59" i="1"/>
  <c r="L44" i="1"/>
  <c r="L30" i="1"/>
  <c r="L16" i="1"/>
  <c r="M14" i="1"/>
  <c r="M26" i="1"/>
  <c r="M38" i="1"/>
  <c r="M8" i="1"/>
  <c r="M21" i="1"/>
  <c r="M34" i="1"/>
  <c r="M47" i="1"/>
  <c r="M59" i="1"/>
  <c r="M71" i="1"/>
  <c r="M83" i="1"/>
  <c r="M95" i="1"/>
  <c r="M107" i="1"/>
  <c r="M119" i="1"/>
  <c r="M131" i="1"/>
  <c r="M143" i="1"/>
  <c r="M155" i="1"/>
  <c r="M167" i="1"/>
  <c r="M179" i="1"/>
  <c r="M191" i="1"/>
  <c r="M203" i="1"/>
  <c r="M215" i="1"/>
  <c r="M227" i="1"/>
  <c r="M239" i="1"/>
  <c r="M251" i="1"/>
  <c r="M263" i="1"/>
  <c r="M275" i="1"/>
  <c r="M287" i="1"/>
  <c r="M299" i="1"/>
  <c r="M311" i="1"/>
  <c r="M323" i="1"/>
  <c r="M335" i="1"/>
  <c r="M347" i="1"/>
  <c r="M359" i="1"/>
  <c r="M371" i="1"/>
  <c r="M383" i="1"/>
  <c r="M395" i="1"/>
  <c r="M407" i="1"/>
  <c r="M419" i="1"/>
  <c r="M431" i="1"/>
  <c r="M9" i="1"/>
  <c r="M22" i="1"/>
  <c r="M35" i="1"/>
  <c r="M48" i="1"/>
  <c r="M60" i="1"/>
  <c r="M72" i="1"/>
  <c r="M84" i="1"/>
  <c r="M96" i="1"/>
  <c r="M108" i="1"/>
  <c r="M120" i="1"/>
  <c r="M132" i="1"/>
  <c r="M144" i="1"/>
  <c r="M156" i="1"/>
  <c r="M168" i="1"/>
  <c r="M180" i="1"/>
  <c r="M192" i="1"/>
  <c r="M204" i="1"/>
  <c r="M216" i="1"/>
  <c r="M228" i="1"/>
  <c r="M240" i="1"/>
  <c r="M252" i="1"/>
  <c r="M10" i="1"/>
  <c r="M23" i="1"/>
  <c r="M36" i="1"/>
  <c r="M49" i="1"/>
  <c r="M61" i="1"/>
  <c r="M73" i="1"/>
  <c r="M85" i="1"/>
  <c r="M97" i="1"/>
  <c r="M11" i="1"/>
  <c r="M24" i="1"/>
  <c r="M37" i="1"/>
  <c r="M50" i="1"/>
  <c r="M62" i="1"/>
  <c r="M74" i="1"/>
  <c r="M86" i="1"/>
  <c r="M98" i="1"/>
  <c r="M110" i="1"/>
  <c r="M122" i="1"/>
  <c r="M134" i="1"/>
  <c r="M146" i="1"/>
  <c r="M158" i="1"/>
  <c r="M170" i="1"/>
  <c r="M182" i="1"/>
  <c r="M194" i="1"/>
  <c r="M206" i="1"/>
  <c r="M218" i="1"/>
  <c r="M230" i="1"/>
  <c r="M242" i="1"/>
  <c r="M254" i="1"/>
  <c r="M266" i="1"/>
  <c r="M278" i="1"/>
  <c r="M290" i="1"/>
  <c r="M302" i="1"/>
  <c r="M314" i="1"/>
  <c r="M326" i="1"/>
  <c r="M338" i="1"/>
  <c r="M350" i="1"/>
  <c r="M362" i="1"/>
  <c r="M374" i="1"/>
  <c r="M386" i="1"/>
  <c r="M398" i="1"/>
  <c r="M410" i="1"/>
  <c r="M422" i="1"/>
  <c r="M2" i="1"/>
  <c r="M421" i="1"/>
  <c r="M406" i="1"/>
  <c r="M392" i="1"/>
  <c r="M378" i="1"/>
  <c r="M364" i="1"/>
  <c r="M349" i="1"/>
  <c r="M334" i="1"/>
  <c r="M320" i="1"/>
  <c r="M306" i="1"/>
  <c r="M292" i="1"/>
  <c r="M277" i="1"/>
  <c r="M262" i="1"/>
  <c r="M247" i="1"/>
  <c r="M232" i="1"/>
  <c r="M214" i="1"/>
  <c r="M199" i="1"/>
  <c r="M184" i="1"/>
  <c r="M166" i="1"/>
  <c r="M151" i="1"/>
  <c r="M136" i="1"/>
  <c r="M118" i="1"/>
  <c r="M103" i="1"/>
  <c r="M87" i="1"/>
  <c r="M67" i="1"/>
  <c r="M51" i="1"/>
  <c r="M30" i="1"/>
  <c r="M12" i="1"/>
  <c r="N425" i="1"/>
  <c r="N398" i="1"/>
  <c r="N378" i="1"/>
  <c r="N351" i="1"/>
  <c r="N325" i="1"/>
  <c r="N299" i="1"/>
  <c r="N278" i="1"/>
  <c r="N250" i="1"/>
  <c r="N222" i="1"/>
  <c r="N199" i="1"/>
  <c r="N171" i="1"/>
  <c r="N142" i="1"/>
  <c r="N110" i="1"/>
  <c r="N79" i="1"/>
  <c r="N48" i="1"/>
  <c r="N16" i="1"/>
  <c r="L425" i="1"/>
  <c r="L412" i="1"/>
  <c r="L399" i="1"/>
  <c r="L386" i="1"/>
  <c r="L373" i="1"/>
  <c r="L360" i="1"/>
  <c r="L347" i="1"/>
  <c r="L334" i="1"/>
  <c r="L320" i="1"/>
  <c r="L307" i="1"/>
  <c r="L294" i="1"/>
  <c r="L281" i="1"/>
  <c r="L242" i="1"/>
  <c r="L229" i="1"/>
  <c r="L216" i="1"/>
  <c r="L202" i="1"/>
  <c r="L187" i="1"/>
  <c r="L173" i="1"/>
  <c r="L159" i="1"/>
  <c r="L145" i="1"/>
  <c r="L130" i="1"/>
  <c r="L115" i="1"/>
  <c r="L101" i="1"/>
  <c r="L87" i="1"/>
  <c r="L73" i="1"/>
  <c r="L58" i="1"/>
  <c r="L43" i="1"/>
  <c r="L29" i="1"/>
  <c r="L15" i="1"/>
  <c r="M420" i="1"/>
  <c r="M405" i="1"/>
  <c r="M391" i="1"/>
  <c r="M377" i="1"/>
  <c r="M363" i="1"/>
  <c r="M348" i="1"/>
  <c r="M333" i="1"/>
  <c r="M319" i="1"/>
  <c r="M305" i="1"/>
  <c r="M291" i="1"/>
  <c r="M276" i="1"/>
  <c r="M261" i="1"/>
  <c r="M246" i="1"/>
  <c r="M231" i="1"/>
  <c r="M213" i="1"/>
  <c r="M198" i="1"/>
  <c r="M183" i="1"/>
  <c r="M165" i="1"/>
  <c r="M150" i="1"/>
  <c r="M135" i="1"/>
  <c r="M117" i="1"/>
  <c r="M102" i="1"/>
  <c r="M82" i="1"/>
  <c r="M66" i="1"/>
  <c r="M46" i="1"/>
  <c r="M29" i="1"/>
  <c r="M7" i="1"/>
  <c r="N423" i="1"/>
  <c r="N397" i="1"/>
  <c r="N371" i="1"/>
  <c r="N350" i="1"/>
  <c r="N324" i="1"/>
  <c r="N298" i="1"/>
  <c r="N277" i="1"/>
  <c r="N249" i="1"/>
  <c r="N221" i="1"/>
  <c r="N192" i="1"/>
  <c r="N170" i="1"/>
  <c r="N141" i="1"/>
  <c r="N109" i="1"/>
  <c r="N78" i="1"/>
  <c r="N46" i="1"/>
  <c r="N15" i="1"/>
  <c r="L268" i="1"/>
  <c r="L424" i="1"/>
  <c r="L411" i="1"/>
  <c r="L398" i="1"/>
  <c r="L385" i="1"/>
  <c r="L372" i="1"/>
  <c r="L359" i="1"/>
  <c r="L346" i="1"/>
  <c r="L332" i="1"/>
  <c r="L319" i="1"/>
  <c r="L306" i="1"/>
  <c r="L293" i="1"/>
  <c r="L280" i="1"/>
  <c r="L267" i="1"/>
  <c r="L254" i="1"/>
  <c r="L241" i="1"/>
  <c r="L228" i="1"/>
  <c r="L215" i="1"/>
  <c r="L200" i="1"/>
  <c r="L186" i="1"/>
  <c r="L172" i="1"/>
  <c r="L158" i="1"/>
  <c r="L143" i="1"/>
  <c r="L128" i="1"/>
  <c r="L114" i="1"/>
  <c r="L100" i="1"/>
  <c r="L86" i="1"/>
  <c r="L71" i="1"/>
  <c r="L56" i="1"/>
  <c r="L42" i="1"/>
  <c r="L28" i="1"/>
  <c r="L14" i="1"/>
  <c r="M433" i="1"/>
  <c r="M418" i="1"/>
  <c r="Q418" i="1" s="1"/>
  <c r="M404" i="1"/>
  <c r="M390" i="1"/>
  <c r="M376" i="1"/>
  <c r="M361" i="1"/>
  <c r="M346" i="1"/>
  <c r="M332" i="1"/>
  <c r="M318" i="1"/>
  <c r="M304" i="1"/>
  <c r="M289" i="1"/>
  <c r="M274" i="1"/>
  <c r="M260" i="1"/>
  <c r="M245" i="1"/>
  <c r="M229" i="1"/>
  <c r="M212" i="1"/>
  <c r="M197" i="1"/>
  <c r="M181" i="1"/>
  <c r="M164" i="1"/>
  <c r="M149" i="1"/>
  <c r="M133" i="1"/>
  <c r="M116" i="1"/>
  <c r="M101" i="1"/>
  <c r="M81" i="1"/>
  <c r="M65" i="1"/>
  <c r="M45" i="1"/>
  <c r="M28" i="1"/>
  <c r="M6" i="1"/>
  <c r="N422" i="1"/>
  <c r="N396" i="1"/>
  <c r="N370" i="1"/>
  <c r="N349" i="1"/>
  <c r="N323" i="1"/>
  <c r="N297" i="1"/>
  <c r="N270" i="1"/>
  <c r="N248" i="1"/>
  <c r="N220" i="1"/>
  <c r="N190" i="1"/>
  <c r="N169" i="1"/>
  <c r="N139" i="1"/>
  <c r="N108" i="1"/>
  <c r="N77" i="1"/>
  <c r="N44" i="1"/>
  <c r="N14" i="1"/>
  <c r="L255" i="1"/>
  <c r="L9" i="1"/>
  <c r="L21" i="1"/>
  <c r="L33" i="1"/>
  <c r="L45" i="1"/>
  <c r="L57" i="1"/>
  <c r="L69" i="1"/>
  <c r="L81" i="1"/>
  <c r="L93" i="1"/>
  <c r="L105" i="1"/>
  <c r="L117" i="1"/>
  <c r="L129" i="1"/>
  <c r="L141" i="1"/>
  <c r="L153" i="1"/>
  <c r="L165" i="1"/>
  <c r="L177" i="1"/>
  <c r="L189" i="1"/>
  <c r="L201" i="1"/>
  <c r="L213" i="1"/>
  <c r="L225" i="1"/>
  <c r="L237" i="1"/>
  <c r="L249" i="1"/>
  <c r="L261" i="1"/>
  <c r="L273" i="1"/>
  <c r="L285" i="1"/>
  <c r="L297" i="1"/>
  <c r="L309" i="1"/>
  <c r="L321" i="1"/>
  <c r="L333" i="1"/>
  <c r="L345" i="1"/>
  <c r="L357" i="1"/>
  <c r="L369" i="1"/>
  <c r="L381" i="1"/>
  <c r="L393" i="1"/>
  <c r="L405" i="1"/>
  <c r="L417" i="1"/>
  <c r="L429" i="1"/>
  <c r="L12" i="1"/>
  <c r="L24" i="1"/>
  <c r="L36" i="1"/>
  <c r="L48" i="1"/>
  <c r="L60" i="1"/>
  <c r="L72" i="1"/>
  <c r="L84" i="1"/>
  <c r="L96" i="1"/>
  <c r="L108" i="1"/>
  <c r="L120" i="1"/>
  <c r="L132" i="1"/>
  <c r="L144" i="1"/>
  <c r="L156" i="1"/>
  <c r="L168" i="1"/>
  <c r="L180" i="1"/>
  <c r="L192" i="1"/>
  <c r="L204" i="1"/>
  <c r="L423" i="1"/>
  <c r="L410" i="1"/>
  <c r="L397" i="1"/>
  <c r="L384" i="1"/>
  <c r="L371" i="1"/>
  <c r="L358" i="1"/>
  <c r="L344" i="1"/>
  <c r="L331" i="1"/>
  <c r="L318" i="1"/>
  <c r="L305" i="1"/>
  <c r="L292" i="1"/>
  <c r="L279" i="1"/>
  <c r="L266" i="1"/>
  <c r="L253" i="1"/>
  <c r="L240" i="1"/>
  <c r="L227" i="1"/>
  <c r="L214" i="1"/>
  <c r="L199" i="1"/>
  <c r="L185" i="1"/>
  <c r="L171" i="1"/>
  <c r="L157" i="1"/>
  <c r="L142" i="1"/>
  <c r="L127" i="1"/>
  <c r="L113" i="1"/>
  <c r="L99" i="1"/>
  <c r="L85" i="1"/>
  <c r="L70" i="1"/>
  <c r="L55" i="1"/>
  <c r="L41" i="1"/>
  <c r="L27" i="1"/>
  <c r="L13" i="1"/>
  <c r="M432" i="1"/>
  <c r="M417" i="1"/>
  <c r="M403" i="1"/>
  <c r="M389" i="1"/>
  <c r="M375" i="1"/>
  <c r="M360" i="1"/>
  <c r="M345" i="1"/>
  <c r="M331" i="1"/>
  <c r="M317" i="1"/>
  <c r="M303" i="1"/>
  <c r="M288" i="1"/>
  <c r="M273" i="1"/>
  <c r="M259" i="1"/>
  <c r="M244" i="1"/>
  <c r="M226" i="1"/>
  <c r="M211" i="1"/>
  <c r="M196" i="1"/>
  <c r="M178" i="1"/>
  <c r="M163" i="1"/>
  <c r="M148" i="1"/>
  <c r="M130" i="1"/>
  <c r="M115" i="1"/>
  <c r="M100" i="1"/>
  <c r="M80" i="1"/>
  <c r="M64" i="1"/>
  <c r="M44" i="1"/>
  <c r="M27" i="1"/>
  <c r="M5" i="1"/>
  <c r="N421" i="1"/>
  <c r="N395" i="1"/>
  <c r="N369" i="1"/>
  <c r="N342" i="1"/>
  <c r="N322" i="1"/>
  <c r="N296" i="1"/>
  <c r="N269" i="1"/>
  <c r="N247" i="1"/>
  <c r="N218" i="1"/>
  <c r="N188" i="1"/>
  <c r="N160" i="1"/>
  <c r="N138" i="1"/>
  <c r="N106" i="1"/>
  <c r="N76" i="1"/>
  <c r="N43" i="1"/>
  <c r="N13" i="1"/>
  <c r="L396" i="1"/>
  <c r="L343" i="1"/>
  <c r="L304" i="1"/>
  <c r="L265" i="1"/>
  <c r="L226" i="1"/>
  <c r="L184" i="1"/>
  <c r="L140" i="1"/>
  <c r="L112" i="1"/>
  <c r="L83" i="1"/>
  <c r="L68" i="1"/>
  <c r="L54" i="1"/>
  <c r="L26" i="1"/>
  <c r="L11" i="1"/>
  <c r="M430" i="1"/>
  <c r="M416" i="1"/>
  <c r="M402" i="1"/>
  <c r="M388" i="1"/>
  <c r="M373" i="1"/>
  <c r="M358" i="1"/>
  <c r="M344" i="1"/>
  <c r="M330" i="1"/>
  <c r="M316" i="1"/>
  <c r="M301" i="1"/>
  <c r="M286" i="1"/>
  <c r="M258" i="1"/>
  <c r="M243" i="1"/>
  <c r="M210" i="1"/>
  <c r="M195" i="1"/>
  <c r="M177" i="1"/>
  <c r="M162" i="1"/>
  <c r="M147" i="1"/>
  <c r="M129" i="1"/>
  <c r="M114" i="1"/>
  <c r="M99" i="1"/>
  <c r="M79" i="1"/>
  <c r="M63" i="1"/>
  <c r="M43" i="1"/>
  <c r="M25" i="1"/>
  <c r="M4" i="1"/>
  <c r="N414" i="1"/>
  <c r="N394" i="1"/>
  <c r="N368" i="1"/>
  <c r="N341" i="1"/>
  <c r="N321" i="1"/>
  <c r="N294" i="1"/>
  <c r="N267" i="1"/>
  <c r="N238" i="1"/>
  <c r="N217" i="1"/>
  <c r="N187" i="1"/>
  <c r="N159" i="1"/>
  <c r="N129" i="1"/>
  <c r="N97" i="1"/>
  <c r="N66" i="1"/>
  <c r="N34" i="1"/>
  <c r="N3" i="1"/>
  <c r="L409" i="1"/>
  <c r="L370" i="1"/>
  <c r="L330" i="1"/>
  <c r="L278" i="1"/>
  <c r="L170" i="1"/>
  <c r="L2" i="1"/>
  <c r="L421" i="1"/>
  <c r="L408" i="1"/>
  <c r="L395" i="1"/>
  <c r="L382" i="1"/>
  <c r="L368" i="1"/>
  <c r="L355" i="1"/>
  <c r="L342" i="1"/>
  <c r="L329" i="1"/>
  <c r="L316" i="1"/>
  <c r="L303" i="1"/>
  <c r="L290" i="1"/>
  <c r="L277" i="1"/>
  <c r="L264" i="1"/>
  <c r="L251" i="1"/>
  <c r="L238" i="1"/>
  <c r="L224" i="1"/>
  <c r="L211" i="1"/>
  <c r="L197" i="1"/>
  <c r="L183" i="1"/>
  <c r="L169" i="1"/>
  <c r="L154" i="1"/>
  <c r="L139" i="1"/>
  <c r="L125" i="1"/>
  <c r="L111" i="1"/>
  <c r="L97" i="1"/>
  <c r="L82" i="1"/>
  <c r="L67" i="1"/>
  <c r="L53" i="1"/>
  <c r="L39" i="1"/>
  <c r="L25" i="1"/>
  <c r="L10" i="1"/>
  <c r="M429" i="1"/>
  <c r="M415" i="1"/>
  <c r="M401" i="1"/>
  <c r="M387" i="1"/>
  <c r="M372" i="1"/>
  <c r="M357" i="1"/>
  <c r="M343" i="1"/>
  <c r="M329" i="1"/>
  <c r="M315" i="1"/>
  <c r="M300" i="1"/>
  <c r="M285" i="1"/>
  <c r="M271" i="1"/>
  <c r="M257" i="1"/>
  <c r="M241" i="1"/>
  <c r="M224" i="1"/>
  <c r="M209" i="1"/>
  <c r="M193" i="1"/>
  <c r="M176" i="1"/>
  <c r="M161" i="1"/>
  <c r="M145" i="1"/>
  <c r="M128" i="1"/>
  <c r="M113" i="1"/>
  <c r="M94" i="1"/>
  <c r="M78" i="1"/>
  <c r="M58" i="1"/>
  <c r="M42" i="1"/>
  <c r="M20" i="1"/>
  <c r="M3" i="1"/>
  <c r="N413" i="1"/>
  <c r="N393" i="1"/>
  <c r="N366" i="1"/>
  <c r="N339" i="1"/>
  <c r="N313" i="1"/>
  <c r="N293" i="1"/>
  <c r="N266" i="1"/>
  <c r="N237" i="1"/>
  <c r="N214" i="1"/>
  <c r="N186" i="1"/>
  <c r="N158" i="1"/>
  <c r="N128" i="1"/>
  <c r="N96" i="1"/>
  <c r="N65" i="1"/>
  <c r="N33" i="1"/>
  <c r="L422" i="1"/>
  <c r="L383" i="1"/>
  <c r="L356" i="1"/>
  <c r="L317" i="1"/>
  <c r="L291" i="1"/>
  <c r="L252" i="1"/>
  <c r="L239" i="1"/>
  <c r="L212" i="1"/>
  <c r="L198" i="1"/>
  <c r="L155" i="1"/>
  <c r="L126" i="1"/>
  <c r="L98" i="1"/>
  <c r="L433" i="1"/>
  <c r="L420" i="1"/>
  <c r="L407" i="1"/>
  <c r="L394" i="1"/>
  <c r="L380" i="1"/>
  <c r="L367" i="1"/>
  <c r="L354" i="1"/>
  <c r="L341" i="1"/>
  <c r="L328" i="1"/>
  <c r="L315" i="1"/>
  <c r="L302" i="1"/>
  <c r="L289" i="1"/>
  <c r="L276" i="1"/>
  <c r="L263" i="1"/>
  <c r="L250" i="1"/>
  <c r="L236" i="1"/>
  <c r="L223" i="1"/>
  <c r="L210" i="1"/>
  <c r="L196" i="1"/>
  <c r="L182" i="1"/>
  <c r="L167" i="1"/>
  <c r="L152" i="1"/>
  <c r="L138" i="1"/>
  <c r="L124" i="1"/>
  <c r="L110" i="1"/>
  <c r="L95" i="1"/>
  <c r="L80" i="1"/>
  <c r="L66" i="1"/>
  <c r="L52" i="1"/>
  <c r="L38" i="1"/>
  <c r="L23" i="1"/>
  <c r="L8" i="1"/>
  <c r="M428" i="1"/>
  <c r="M414" i="1"/>
  <c r="M400" i="1"/>
  <c r="M385" i="1"/>
  <c r="M370" i="1"/>
  <c r="M356" i="1"/>
  <c r="M342" i="1"/>
  <c r="M328" i="1"/>
  <c r="M313" i="1"/>
  <c r="M298" i="1"/>
  <c r="M284" i="1"/>
  <c r="M270" i="1"/>
  <c r="M256" i="1"/>
  <c r="M238" i="1"/>
  <c r="M223" i="1"/>
  <c r="M208" i="1"/>
  <c r="M190" i="1"/>
  <c r="M175" i="1"/>
  <c r="M160" i="1"/>
  <c r="M142" i="1"/>
  <c r="M127" i="1"/>
  <c r="M112" i="1"/>
  <c r="M93" i="1"/>
  <c r="M77" i="1"/>
  <c r="M57" i="1"/>
  <c r="M41" i="1"/>
  <c r="M19" i="1"/>
  <c r="N9" i="1"/>
  <c r="N411" i="1"/>
  <c r="N385" i="1"/>
  <c r="N365" i="1"/>
  <c r="N338" i="1"/>
  <c r="N312" i="1"/>
  <c r="N291" i="1"/>
  <c r="N265" i="1"/>
  <c r="N236" i="1"/>
  <c r="N208" i="1"/>
  <c r="N185" i="1"/>
  <c r="N157" i="1"/>
  <c r="N126" i="1"/>
  <c r="N94" i="1"/>
  <c r="N64" i="1"/>
  <c r="N31" i="1"/>
  <c r="O11" i="1"/>
  <c r="O27" i="1"/>
  <c r="O44" i="1"/>
  <c r="O59" i="1"/>
  <c r="O74" i="1"/>
  <c r="O89" i="1"/>
  <c r="O106" i="1"/>
  <c r="O122" i="1"/>
  <c r="O137" i="1"/>
  <c r="O153" i="1"/>
  <c r="O167" i="1"/>
  <c r="O182" i="1"/>
  <c r="O197" i="1"/>
  <c r="O211" i="1"/>
  <c r="O225" i="1"/>
  <c r="O239" i="1"/>
  <c r="O254" i="1"/>
  <c r="O269" i="1"/>
  <c r="O283" i="1"/>
  <c r="O297" i="1"/>
  <c r="O311" i="1"/>
  <c r="O326" i="1"/>
  <c r="O341" i="1"/>
  <c r="O355" i="1"/>
  <c r="O369" i="1"/>
  <c r="O383" i="1"/>
  <c r="O398" i="1"/>
  <c r="O413" i="1"/>
  <c r="O427" i="1"/>
  <c r="O15" i="1"/>
  <c r="O32" i="1"/>
  <c r="O47" i="1"/>
  <c r="O62" i="1"/>
  <c r="O77" i="1"/>
  <c r="O94" i="1"/>
  <c r="O110" i="1"/>
  <c r="O125" i="1"/>
  <c r="O141" i="1"/>
  <c r="O156" i="1"/>
  <c r="O171" i="1"/>
  <c r="O186" i="1"/>
  <c r="O200" i="1"/>
  <c r="O214" i="1"/>
  <c r="O228" i="1"/>
  <c r="O243" i="1"/>
  <c r="O258" i="1"/>
  <c r="O272" i="1"/>
  <c r="O286" i="1"/>
  <c r="O300" i="1"/>
  <c r="O315" i="1"/>
  <c r="O330" i="1"/>
  <c r="O344" i="1"/>
  <c r="O358" i="1"/>
  <c r="O372" i="1"/>
  <c r="O387" i="1"/>
  <c r="O402" i="1"/>
  <c r="O416" i="1"/>
  <c r="O430" i="1"/>
  <c r="O17" i="1"/>
  <c r="O33" i="1"/>
  <c r="O48" i="1"/>
  <c r="O63" i="1"/>
  <c r="O80" i="1"/>
  <c r="O96" i="1"/>
  <c r="O111" i="1"/>
  <c r="O126" i="1"/>
  <c r="O142" i="1"/>
  <c r="O158" i="1"/>
  <c r="O173" i="1"/>
  <c r="O187" i="1"/>
  <c r="O201" i="1"/>
  <c r="O4" i="1"/>
  <c r="O20" i="1"/>
  <c r="O35" i="1"/>
  <c r="O50" i="1"/>
  <c r="O66" i="1"/>
  <c r="O83" i="1"/>
  <c r="O98" i="1"/>
  <c r="O113" i="1"/>
  <c r="O129" i="1"/>
  <c r="O145" i="1"/>
  <c r="O161" i="1"/>
  <c r="O175" i="1"/>
  <c r="O12" i="1"/>
  <c r="O37" i="1"/>
  <c r="O60" i="1"/>
  <c r="O85" i="1"/>
  <c r="O107" i="1"/>
  <c r="O132" i="1"/>
  <c r="O154" i="1"/>
  <c r="O177" i="1"/>
  <c r="O195" i="1"/>
  <c r="O215" i="1"/>
  <c r="O233" i="1"/>
  <c r="O249" i="1"/>
  <c r="O266" i="1"/>
  <c r="O284" i="1"/>
  <c r="O302" i="1"/>
  <c r="O319" i="1"/>
  <c r="O335" i="1"/>
  <c r="O353" i="1"/>
  <c r="O370" i="1"/>
  <c r="O389" i="1"/>
  <c r="O405" i="1"/>
  <c r="O422" i="1"/>
  <c r="O14" i="1"/>
  <c r="O38" i="1"/>
  <c r="O61" i="1"/>
  <c r="O86" i="1"/>
  <c r="O109" i="1"/>
  <c r="O133" i="1"/>
  <c r="O155" i="1"/>
  <c r="O178" i="1"/>
  <c r="O198" i="1"/>
  <c r="O216" i="1"/>
  <c r="O234" i="1"/>
  <c r="O250" i="1"/>
  <c r="O267" i="1"/>
  <c r="O285" i="1"/>
  <c r="O303" i="1"/>
  <c r="O320" i="1"/>
  <c r="O336" i="1"/>
  <c r="O354" i="1"/>
  <c r="O371" i="1"/>
  <c r="O390" i="1"/>
  <c r="O406" i="1"/>
  <c r="O423" i="1"/>
  <c r="O18" i="1"/>
  <c r="O40" i="1"/>
  <c r="O64" i="1"/>
  <c r="O87" i="1"/>
  <c r="O112" i="1"/>
  <c r="O135" i="1"/>
  <c r="O159" i="1"/>
  <c r="O179" i="1"/>
  <c r="O199" i="1"/>
  <c r="O218" i="1"/>
  <c r="O235" i="1"/>
  <c r="O251" i="1"/>
  <c r="O270" i="1"/>
  <c r="O287" i="1"/>
  <c r="O305" i="1"/>
  <c r="O321" i="1"/>
  <c r="O338" i="1"/>
  <c r="O356" i="1"/>
  <c r="O374" i="1"/>
  <c r="O391" i="1"/>
  <c r="O407" i="1"/>
  <c r="O425" i="1"/>
  <c r="O21" i="1"/>
  <c r="O41" i="1"/>
  <c r="O68" i="1"/>
  <c r="O88" i="1"/>
  <c r="O114" i="1"/>
  <c r="O136" i="1"/>
  <c r="O162" i="1"/>
  <c r="O180" i="1"/>
  <c r="O202" i="1"/>
  <c r="O219" i="1"/>
  <c r="O236" i="1"/>
  <c r="O252" i="1"/>
  <c r="O271" i="1"/>
  <c r="O288" i="1"/>
  <c r="O306" i="1"/>
  <c r="O322" i="1"/>
  <c r="O339" i="1"/>
  <c r="O357" i="1"/>
  <c r="O375" i="1"/>
  <c r="O392" i="1"/>
  <c r="O408" i="1"/>
  <c r="O426" i="1"/>
  <c r="O22" i="1"/>
  <c r="O45" i="1"/>
  <c r="O70" i="1"/>
  <c r="O90" i="1"/>
  <c r="O116" i="1"/>
  <c r="O138" i="1"/>
  <c r="O163" i="1"/>
  <c r="O183" i="1"/>
  <c r="O203" i="1"/>
  <c r="O221" i="1"/>
  <c r="O237" i="1"/>
  <c r="O255" i="1"/>
  <c r="O273" i="1"/>
  <c r="O290" i="1"/>
  <c r="O307" i="1"/>
  <c r="O323" i="1"/>
  <c r="O342" i="1"/>
  <c r="O359" i="1"/>
  <c r="O377" i="1"/>
  <c r="O393" i="1"/>
  <c r="O410" i="1"/>
  <c r="O428" i="1"/>
  <c r="O23" i="1"/>
  <c r="O46" i="1"/>
  <c r="O71" i="1"/>
  <c r="O93" i="1"/>
  <c r="O117" i="1"/>
  <c r="O140" i="1"/>
  <c r="O164" i="1"/>
  <c r="O185" i="1"/>
  <c r="O204" i="1"/>
  <c r="O222" i="1"/>
  <c r="O238" i="1"/>
  <c r="O257" i="1"/>
  <c r="O274" i="1"/>
  <c r="O291" i="1"/>
  <c r="O308" i="1"/>
  <c r="O324" i="1"/>
  <c r="O343" i="1"/>
  <c r="O360" i="1"/>
  <c r="O378" i="1"/>
  <c r="O394" i="1"/>
  <c r="O411" i="1"/>
  <c r="O429" i="1"/>
  <c r="O24" i="1"/>
  <c r="O49" i="1"/>
  <c r="O72" i="1"/>
  <c r="O97" i="1"/>
  <c r="O119" i="1"/>
  <c r="O143" i="1"/>
  <c r="O165" i="1"/>
  <c r="O188" i="1"/>
  <c r="O206" i="1"/>
  <c r="O223" i="1"/>
  <c r="O240" i="1"/>
  <c r="O259" i="1"/>
  <c r="O275" i="1"/>
  <c r="O293" i="1"/>
  <c r="O309" i="1"/>
  <c r="O327" i="1"/>
  <c r="O345" i="1"/>
  <c r="O362" i="1"/>
  <c r="O379" i="1"/>
  <c r="O395" i="1"/>
  <c r="O414" i="1"/>
  <c r="O5" i="1"/>
  <c r="O25" i="1"/>
  <c r="O51" i="1"/>
  <c r="O73" i="1"/>
  <c r="O99" i="1"/>
  <c r="O120" i="1"/>
  <c r="O146" i="1"/>
  <c r="O166" i="1"/>
  <c r="O189" i="1"/>
  <c r="O207" i="1"/>
  <c r="O224" i="1"/>
  <c r="O242" i="1"/>
  <c r="O260" i="1"/>
  <c r="O276" i="1"/>
  <c r="O294" i="1"/>
  <c r="O310" i="1"/>
  <c r="O329" i="1"/>
  <c r="O346" i="1"/>
  <c r="O363" i="1"/>
  <c r="O380" i="1"/>
  <c r="O396" i="1"/>
  <c r="O415" i="1"/>
  <c r="O386" i="1"/>
  <c r="O334" i="1"/>
  <c r="O282" i="1"/>
  <c r="O231" i="1"/>
  <c r="O176" i="1"/>
  <c r="O104" i="1"/>
  <c r="O36" i="1"/>
  <c r="P181" i="1"/>
  <c r="P134" i="1"/>
  <c r="P60" i="1"/>
  <c r="P412" i="1"/>
  <c r="P384" i="1"/>
  <c r="P353" i="1"/>
  <c r="P328" i="1"/>
  <c r="P298" i="1"/>
  <c r="P268" i="1"/>
  <c r="P229" i="1"/>
  <c r="P178" i="1"/>
  <c r="P120" i="1"/>
  <c r="P3" i="1"/>
  <c r="P15" i="1"/>
  <c r="P27" i="1"/>
  <c r="P39" i="1"/>
  <c r="P51" i="1"/>
  <c r="P63" i="1"/>
  <c r="P75" i="1"/>
  <c r="P87" i="1"/>
  <c r="P99" i="1"/>
  <c r="P111" i="1"/>
  <c r="P123" i="1"/>
  <c r="P135" i="1"/>
  <c r="P147" i="1"/>
  <c r="P159" i="1"/>
  <c r="P171" i="1"/>
  <c r="P183" i="1"/>
  <c r="P195" i="1"/>
  <c r="P207" i="1"/>
  <c r="P219" i="1"/>
  <c r="P231" i="1"/>
  <c r="P243" i="1"/>
  <c r="P255" i="1"/>
  <c r="P267" i="1"/>
  <c r="P279" i="1"/>
  <c r="P291" i="1"/>
  <c r="P303" i="1"/>
  <c r="P315" i="1"/>
  <c r="P327" i="1"/>
  <c r="P339" i="1"/>
  <c r="P351" i="1"/>
  <c r="P363" i="1"/>
  <c r="P375" i="1"/>
  <c r="P387" i="1"/>
  <c r="P399" i="1"/>
  <c r="P411" i="1"/>
  <c r="P423" i="1"/>
  <c r="P4" i="1"/>
  <c r="P16" i="1"/>
  <c r="P28" i="1"/>
  <c r="P40" i="1"/>
  <c r="P52" i="1"/>
  <c r="P64" i="1"/>
  <c r="P76" i="1"/>
  <c r="P88" i="1"/>
  <c r="P100" i="1"/>
  <c r="P112" i="1"/>
  <c r="P124" i="1"/>
  <c r="P136" i="1"/>
  <c r="P148" i="1"/>
  <c r="P160" i="1"/>
  <c r="P172" i="1"/>
  <c r="P184" i="1"/>
  <c r="P196" i="1"/>
  <c r="P208" i="1"/>
  <c r="P220" i="1"/>
  <c r="P5" i="1"/>
  <c r="P17" i="1"/>
  <c r="P29" i="1"/>
  <c r="P41" i="1"/>
  <c r="P53" i="1"/>
  <c r="P65" i="1"/>
  <c r="P77" i="1"/>
  <c r="P89" i="1"/>
  <c r="P101" i="1"/>
  <c r="P113" i="1"/>
  <c r="P125" i="1"/>
  <c r="P137" i="1"/>
  <c r="P6" i="1"/>
  <c r="P18" i="1"/>
  <c r="P30" i="1"/>
  <c r="P42" i="1"/>
  <c r="P54" i="1"/>
  <c r="P66" i="1"/>
  <c r="P78" i="1"/>
  <c r="P90" i="1"/>
  <c r="P102" i="1"/>
  <c r="P114" i="1"/>
  <c r="P126" i="1"/>
  <c r="P138" i="1"/>
  <c r="P150" i="1"/>
  <c r="P162" i="1"/>
  <c r="P174" i="1"/>
  <c r="P186" i="1"/>
  <c r="P198" i="1"/>
  <c r="P210" i="1"/>
  <c r="P222" i="1"/>
  <c r="P234" i="1"/>
  <c r="P246" i="1"/>
  <c r="P258" i="1"/>
  <c r="P270" i="1"/>
  <c r="P282" i="1"/>
  <c r="P294" i="1"/>
  <c r="P306" i="1"/>
  <c r="P318" i="1"/>
  <c r="P330" i="1"/>
  <c r="P342" i="1"/>
  <c r="P354" i="1"/>
  <c r="P366" i="1"/>
  <c r="P378" i="1"/>
  <c r="P390" i="1"/>
  <c r="P402" i="1"/>
  <c r="P414" i="1"/>
  <c r="P426" i="1"/>
  <c r="P7" i="1"/>
  <c r="P19" i="1"/>
  <c r="P31" i="1"/>
  <c r="P43" i="1"/>
  <c r="P55" i="1"/>
  <c r="P67" i="1"/>
  <c r="P79" i="1"/>
  <c r="P91" i="1"/>
  <c r="P103" i="1"/>
  <c r="P115" i="1"/>
  <c r="P127" i="1"/>
  <c r="P139" i="1"/>
  <c r="P151" i="1"/>
  <c r="P163" i="1"/>
  <c r="P175" i="1"/>
  <c r="P187" i="1"/>
  <c r="P199" i="1"/>
  <c r="P211" i="1"/>
  <c r="P223" i="1"/>
  <c r="P235" i="1"/>
  <c r="P247" i="1"/>
  <c r="P259" i="1"/>
  <c r="P8" i="1"/>
  <c r="P20" i="1"/>
  <c r="P32" i="1"/>
  <c r="P44" i="1"/>
  <c r="P56" i="1"/>
  <c r="P68" i="1"/>
  <c r="P80" i="1"/>
  <c r="P92" i="1"/>
  <c r="P104" i="1"/>
  <c r="P116" i="1"/>
  <c r="P128" i="1"/>
  <c r="P140" i="1"/>
  <c r="P152" i="1"/>
  <c r="P164" i="1"/>
  <c r="P176" i="1"/>
  <c r="P188" i="1"/>
  <c r="P200" i="1"/>
  <c r="P212" i="1"/>
  <c r="P224" i="1"/>
  <c r="P9" i="1"/>
  <c r="P21" i="1"/>
  <c r="P33" i="1"/>
  <c r="P45" i="1"/>
  <c r="P57" i="1"/>
  <c r="P69" i="1"/>
  <c r="P81" i="1"/>
  <c r="P93" i="1"/>
  <c r="P105" i="1"/>
  <c r="P117" i="1"/>
  <c r="P129" i="1"/>
  <c r="P141" i="1"/>
  <c r="P153" i="1"/>
  <c r="P165" i="1"/>
  <c r="P177" i="1"/>
  <c r="P189" i="1"/>
  <c r="P201" i="1"/>
  <c r="P213" i="1"/>
  <c r="P225" i="1"/>
  <c r="P237" i="1"/>
  <c r="P249" i="1"/>
  <c r="P261" i="1"/>
  <c r="P273" i="1"/>
  <c r="P285" i="1"/>
  <c r="P297" i="1"/>
  <c r="P309" i="1"/>
  <c r="P321" i="1"/>
  <c r="P333" i="1"/>
  <c r="P345" i="1"/>
  <c r="P357" i="1"/>
  <c r="P369" i="1"/>
  <c r="P381" i="1"/>
  <c r="P393" i="1"/>
  <c r="P405" i="1"/>
  <c r="P417" i="1"/>
  <c r="P429" i="1"/>
  <c r="P10" i="1"/>
  <c r="P22" i="1"/>
  <c r="P34" i="1"/>
  <c r="P46" i="1"/>
  <c r="P58" i="1"/>
  <c r="P70" i="1"/>
  <c r="P82" i="1"/>
  <c r="P94" i="1"/>
  <c r="P106" i="1"/>
  <c r="P118" i="1"/>
  <c r="P130" i="1"/>
  <c r="P11" i="1"/>
  <c r="P47" i="1"/>
  <c r="P83" i="1"/>
  <c r="P119" i="1"/>
  <c r="P146" i="1"/>
  <c r="P170" i="1"/>
  <c r="P194" i="1"/>
  <c r="P218" i="1"/>
  <c r="P240" i="1"/>
  <c r="P257" i="1"/>
  <c r="P275" i="1"/>
  <c r="P290" i="1"/>
  <c r="P307" i="1"/>
  <c r="P323" i="1"/>
  <c r="P338" i="1"/>
  <c r="P355" i="1"/>
  <c r="P371" i="1"/>
  <c r="P386" i="1"/>
  <c r="P403" i="1"/>
  <c r="P419" i="1"/>
  <c r="P2" i="1"/>
  <c r="P14" i="1"/>
  <c r="P50" i="1"/>
  <c r="P86" i="1"/>
  <c r="P122" i="1"/>
  <c r="P155" i="1"/>
  <c r="P179" i="1"/>
  <c r="P203" i="1"/>
  <c r="P227" i="1"/>
  <c r="P244" i="1"/>
  <c r="P263" i="1"/>
  <c r="P278" i="1"/>
  <c r="P295" i="1"/>
  <c r="P311" i="1"/>
  <c r="P326" i="1"/>
  <c r="P343" i="1"/>
  <c r="P359" i="1"/>
  <c r="P374" i="1"/>
  <c r="P391" i="1"/>
  <c r="P407" i="1"/>
  <c r="P422" i="1"/>
  <c r="P25" i="1"/>
  <c r="P24" i="1"/>
  <c r="P71" i="1"/>
  <c r="P109" i="1"/>
  <c r="P149" i="1"/>
  <c r="P180" i="1"/>
  <c r="P206" i="1"/>
  <c r="P233" i="1"/>
  <c r="P254" i="1"/>
  <c r="P276" i="1"/>
  <c r="P296" i="1"/>
  <c r="P314" i="1"/>
  <c r="P334" i="1"/>
  <c r="P352" i="1"/>
  <c r="P372" i="1"/>
  <c r="P392" i="1"/>
  <c r="P410" i="1"/>
  <c r="P430" i="1"/>
  <c r="P36" i="1"/>
  <c r="P74" i="1"/>
  <c r="P121" i="1"/>
  <c r="P157" i="1"/>
  <c r="P185" i="1"/>
  <c r="P215" i="1"/>
  <c r="P239" i="1"/>
  <c r="P262" i="1"/>
  <c r="P281" i="1"/>
  <c r="P300" i="1"/>
  <c r="P319" i="1"/>
  <c r="P337" i="1"/>
  <c r="P358" i="1"/>
  <c r="P377" i="1"/>
  <c r="P396" i="1"/>
  <c r="P415" i="1"/>
  <c r="P433" i="1"/>
  <c r="P37" i="1"/>
  <c r="P84" i="1"/>
  <c r="P131" i="1"/>
  <c r="P158" i="1"/>
  <c r="P190" i="1"/>
  <c r="P216" i="1"/>
  <c r="P241" i="1"/>
  <c r="P264" i="1"/>
  <c r="P283" i="1"/>
  <c r="P301" i="1"/>
  <c r="P320" i="1"/>
  <c r="P340" i="1"/>
  <c r="P360" i="1"/>
  <c r="P379" i="1"/>
  <c r="P397" i="1"/>
  <c r="P416" i="1"/>
  <c r="P38" i="1"/>
  <c r="P85" i="1"/>
  <c r="P132" i="1"/>
  <c r="P161" i="1"/>
  <c r="P191" i="1"/>
  <c r="P217" i="1"/>
  <c r="P242" i="1"/>
  <c r="P265" i="1"/>
  <c r="P284" i="1"/>
  <c r="P48" i="1"/>
  <c r="P95" i="1"/>
  <c r="P133" i="1"/>
  <c r="P166" i="1"/>
  <c r="P192" i="1"/>
  <c r="P221" i="1"/>
  <c r="P245" i="1"/>
  <c r="P266" i="1"/>
  <c r="P286" i="1"/>
  <c r="P304" i="1"/>
  <c r="P324" i="1"/>
  <c r="P344" i="1"/>
  <c r="P362" i="1"/>
  <c r="P382" i="1"/>
  <c r="P400" i="1"/>
  <c r="P420" i="1"/>
  <c r="P409" i="1"/>
  <c r="P383" i="1"/>
  <c r="P350" i="1"/>
  <c r="P325" i="1"/>
  <c r="P293" i="1"/>
  <c r="P260" i="1"/>
  <c r="P228" i="1"/>
  <c r="P173" i="1"/>
  <c r="P110" i="1"/>
  <c r="P49" i="1"/>
  <c r="P408" i="1"/>
  <c r="P380" i="1"/>
  <c r="P349" i="1"/>
  <c r="P322" i="1"/>
  <c r="P292" i="1"/>
  <c r="P256" i="1"/>
  <c r="P226" i="1"/>
  <c r="P169" i="1"/>
  <c r="P108" i="1"/>
  <c r="P35" i="1"/>
  <c r="P432" i="1"/>
  <c r="P406" i="1"/>
  <c r="P376" i="1"/>
  <c r="P348" i="1"/>
  <c r="P317" i="1"/>
  <c r="P289" i="1"/>
  <c r="P253" i="1"/>
  <c r="P214" i="1"/>
  <c r="P168" i="1"/>
  <c r="P107" i="1"/>
  <c r="P26" i="1"/>
  <c r="P431" i="1"/>
  <c r="P404" i="1"/>
  <c r="P373" i="1"/>
  <c r="P347" i="1"/>
  <c r="P316" i="1"/>
  <c r="P288" i="1"/>
  <c r="P252" i="1"/>
  <c r="P209" i="1"/>
  <c r="P167" i="1"/>
  <c r="P98" i="1"/>
  <c r="P23" i="1"/>
  <c r="P428" i="1"/>
  <c r="P401" i="1"/>
  <c r="P370" i="1"/>
  <c r="P346" i="1"/>
  <c r="P313" i="1"/>
  <c r="P287" i="1"/>
  <c r="P251" i="1"/>
  <c r="P205" i="1"/>
  <c r="P156" i="1"/>
  <c r="P97" i="1"/>
  <c r="P13" i="1"/>
  <c r="P427" i="1"/>
  <c r="P398" i="1"/>
  <c r="P368" i="1"/>
  <c r="P341" i="1"/>
  <c r="P312" i="1"/>
  <c r="P280" i="1"/>
  <c r="P250" i="1"/>
  <c r="P204" i="1"/>
  <c r="P154" i="1"/>
  <c r="P96" i="1"/>
  <c r="P12" i="1"/>
  <c r="P425" i="1"/>
  <c r="P395" i="1"/>
  <c r="P367" i="1"/>
  <c r="P336" i="1"/>
  <c r="P310" i="1"/>
  <c r="P277" i="1"/>
  <c r="P248" i="1"/>
  <c r="P202" i="1"/>
  <c r="P145" i="1"/>
  <c r="P73" i="1"/>
  <c r="N391" i="1"/>
  <c r="N379" i="1"/>
  <c r="N367" i="1"/>
  <c r="N355" i="1"/>
  <c r="N343" i="1"/>
  <c r="N331" i="1"/>
  <c r="N319" i="1"/>
  <c r="N307" i="1"/>
  <c r="N295" i="1"/>
  <c r="N283" i="1"/>
  <c r="N271" i="1"/>
  <c r="N258" i="1"/>
  <c r="N245" i="1"/>
  <c r="N232" i="1"/>
  <c r="N219" i="1"/>
  <c r="N206" i="1"/>
  <c r="N193" i="1"/>
  <c r="N180" i="1"/>
  <c r="N166" i="1"/>
  <c r="N153" i="1"/>
  <c r="N140" i="1"/>
  <c r="N127" i="1"/>
  <c r="N114" i="1"/>
  <c r="N101" i="1"/>
  <c r="N88" i="1"/>
  <c r="N75" i="1"/>
  <c r="N62" i="1"/>
  <c r="N49" i="1"/>
  <c r="N36" i="1"/>
  <c r="N22" i="1"/>
  <c r="N11" i="1"/>
  <c r="N23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Q179" i="1" s="1"/>
  <c r="N191" i="1"/>
  <c r="N203" i="1"/>
  <c r="N215" i="1"/>
  <c r="N227" i="1"/>
  <c r="N239" i="1"/>
  <c r="N251" i="1"/>
  <c r="N263" i="1"/>
  <c r="N424" i="1"/>
  <c r="N412" i="1"/>
  <c r="N400" i="1"/>
  <c r="N388" i="1"/>
  <c r="N376" i="1"/>
  <c r="N364" i="1"/>
  <c r="N352" i="1"/>
  <c r="N340" i="1"/>
  <c r="N328" i="1"/>
  <c r="N316" i="1"/>
  <c r="N304" i="1"/>
  <c r="N292" i="1"/>
  <c r="N280" i="1"/>
  <c r="N268" i="1"/>
  <c r="N255" i="1"/>
  <c r="N242" i="1"/>
  <c r="N229" i="1"/>
  <c r="N216" i="1"/>
  <c r="N202" i="1"/>
  <c r="N189" i="1"/>
  <c r="N176" i="1"/>
  <c r="N163" i="1"/>
  <c r="N150" i="1"/>
  <c r="N137" i="1"/>
  <c r="N124" i="1"/>
  <c r="N111" i="1"/>
  <c r="N98" i="1"/>
  <c r="N85" i="1"/>
  <c r="N72" i="1"/>
  <c r="N58" i="1"/>
  <c r="N45" i="1"/>
  <c r="N32" i="1"/>
  <c r="N19" i="1"/>
  <c r="N6" i="1"/>
  <c r="O7" i="1"/>
  <c r="O19" i="1"/>
  <c r="O31" i="1"/>
  <c r="O43" i="1"/>
  <c r="O55" i="1"/>
  <c r="O67" i="1"/>
  <c r="O79" i="1"/>
  <c r="O91" i="1"/>
  <c r="O103" i="1"/>
  <c r="O115" i="1"/>
  <c r="O127" i="1"/>
  <c r="O139" i="1"/>
  <c r="O151" i="1"/>
  <c r="O424" i="1"/>
  <c r="O412" i="1"/>
  <c r="O400" i="1"/>
  <c r="O388" i="1"/>
  <c r="O376" i="1"/>
  <c r="O364" i="1"/>
  <c r="O352" i="1"/>
  <c r="O340" i="1"/>
  <c r="O328" i="1"/>
  <c r="O316" i="1"/>
  <c r="O304" i="1"/>
  <c r="O292" i="1"/>
  <c r="O280" i="1"/>
  <c r="O268" i="1"/>
  <c r="O256" i="1"/>
  <c r="O244" i="1"/>
  <c r="O232" i="1"/>
  <c r="O220" i="1"/>
  <c r="O208" i="1"/>
  <c r="O196" i="1"/>
  <c r="O184" i="1"/>
  <c r="O172" i="1"/>
  <c r="O160" i="1"/>
  <c r="O147" i="1"/>
  <c r="O134" i="1"/>
  <c r="O121" i="1"/>
  <c r="O108" i="1"/>
  <c r="O95" i="1"/>
  <c r="O82" i="1"/>
  <c r="O69" i="1"/>
  <c r="O56" i="1"/>
  <c r="O42" i="1"/>
  <c r="O29" i="1"/>
  <c r="O16" i="1"/>
  <c r="O3" i="1"/>
  <c r="O433" i="1"/>
  <c r="O421" i="1"/>
  <c r="O409" i="1"/>
  <c r="O397" i="1"/>
  <c r="O385" i="1"/>
  <c r="O373" i="1"/>
  <c r="O361" i="1"/>
  <c r="O349" i="1"/>
  <c r="O337" i="1"/>
  <c r="O325" i="1"/>
  <c r="O313" i="1"/>
  <c r="O301" i="1"/>
  <c r="O289" i="1"/>
  <c r="O277" i="1"/>
  <c r="O265" i="1"/>
  <c r="O253" i="1"/>
  <c r="O241" i="1"/>
  <c r="O229" i="1"/>
  <c r="O217" i="1"/>
  <c r="O205" i="1"/>
  <c r="O193" i="1"/>
  <c r="O181" i="1"/>
  <c r="O169" i="1"/>
  <c r="O157" i="1"/>
  <c r="O144" i="1"/>
  <c r="O131" i="1"/>
  <c r="O118" i="1"/>
  <c r="O105" i="1"/>
  <c r="O92" i="1"/>
  <c r="O78" i="1"/>
  <c r="O65" i="1"/>
  <c r="O52" i="1"/>
  <c r="O39" i="1"/>
  <c r="O26" i="1"/>
  <c r="O13" i="1"/>
  <c r="Q265" i="1" l="1"/>
  <c r="Q221" i="1"/>
  <c r="Q92" i="1"/>
  <c r="Q274" i="1"/>
  <c r="Q208" i="1"/>
  <c r="Q378" i="1"/>
  <c r="Q164" i="1"/>
  <c r="Q234" i="1"/>
  <c r="Q302" i="1"/>
  <c r="Q97" i="1"/>
  <c r="Q264" i="1"/>
  <c r="Q421" i="1"/>
  <c r="Q431" i="1"/>
  <c r="Q209" i="1"/>
  <c r="Q366" i="1"/>
  <c r="Q247" i="1"/>
  <c r="Q243" i="1"/>
  <c r="Q122" i="1"/>
  <c r="Q35" i="1"/>
  <c r="Q125" i="1"/>
  <c r="Q170" i="1"/>
  <c r="Q58" i="1"/>
  <c r="Q40" i="1"/>
  <c r="Q8" i="1"/>
  <c r="Q182" i="1"/>
  <c r="Q341" i="1"/>
  <c r="Q212" i="1"/>
  <c r="Q20" i="1"/>
  <c r="Q6" i="1"/>
  <c r="Q365" i="1"/>
  <c r="Q19" i="1"/>
  <c r="Q193" i="1"/>
  <c r="Q351" i="1"/>
  <c r="Q404" i="1"/>
  <c r="Q306" i="1"/>
  <c r="Q150" i="1"/>
  <c r="Q50" i="1"/>
  <c r="Q38" i="1"/>
  <c r="Q210" i="1"/>
  <c r="Q352" i="1"/>
  <c r="Q90" i="1"/>
  <c r="Q258" i="1"/>
  <c r="Q415" i="1"/>
  <c r="Q313" i="1"/>
  <c r="Q78" i="1"/>
  <c r="Q260" i="1"/>
  <c r="Q332" i="1"/>
  <c r="Q394" i="1"/>
  <c r="Q194" i="1"/>
  <c r="Q339" i="1"/>
  <c r="Q107" i="1"/>
  <c r="Q300" i="1"/>
  <c r="Q157" i="1"/>
  <c r="Q318" i="1"/>
  <c r="Q168" i="1"/>
  <c r="Q24" i="1"/>
  <c r="Q309" i="1"/>
  <c r="Q165" i="1"/>
  <c r="Q21" i="1"/>
  <c r="Q391" i="1"/>
  <c r="Q326" i="1"/>
  <c r="Q3" i="1"/>
  <c r="Q175" i="1"/>
  <c r="Q287" i="1"/>
  <c r="Q136" i="1"/>
  <c r="Q64" i="1"/>
  <c r="Q143" i="1"/>
  <c r="Q167" i="1"/>
  <c r="Q328" i="1"/>
  <c r="Q198" i="1"/>
  <c r="Q82" i="1"/>
  <c r="Q251" i="1"/>
  <c r="Q408" i="1"/>
  <c r="Q226" i="1"/>
  <c r="Q142" i="1"/>
  <c r="Q305" i="1"/>
  <c r="Q180" i="1"/>
  <c r="Q36" i="1"/>
  <c r="Q321" i="1"/>
  <c r="Q177" i="1"/>
  <c r="Q33" i="1"/>
  <c r="Q128" i="1"/>
  <c r="Q293" i="1"/>
  <c r="Q43" i="1"/>
  <c r="Q216" i="1"/>
  <c r="Q399" i="1"/>
  <c r="Q59" i="1"/>
  <c r="Q230" i="1"/>
  <c r="Q387" i="1"/>
  <c r="Q161" i="1"/>
  <c r="Q323" i="1"/>
  <c r="Q76" i="1"/>
  <c r="Q245" i="1"/>
  <c r="Q402" i="1"/>
  <c r="Q5" i="1"/>
  <c r="Q178" i="1"/>
  <c r="Q338" i="1"/>
  <c r="Q22" i="1"/>
  <c r="Q195" i="1"/>
  <c r="Q353" i="1"/>
  <c r="Q400" i="1"/>
  <c r="Q336" i="1"/>
  <c r="Q23" i="1"/>
  <c r="Q196" i="1"/>
  <c r="Q354" i="1"/>
  <c r="Q239" i="1"/>
  <c r="Q111" i="1"/>
  <c r="Q277" i="1"/>
  <c r="Q2" i="1"/>
  <c r="Q304" i="1"/>
  <c r="Q171" i="1"/>
  <c r="Q331" i="1"/>
  <c r="Q156" i="1"/>
  <c r="Q12" i="1"/>
  <c r="Q297" i="1"/>
  <c r="Q153" i="1"/>
  <c r="Q9" i="1"/>
  <c r="Q158" i="1"/>
  <c r="Q319" i="1"/>
  <c r="Q73" i="1"/>
  <c r="Q242" i="1"/>
  <c r="Q425" i="1"/>
  <c r="Q88" i="1"/>
  <c r="Q256" i="1"/>
  <c r="Q413" i="1"/>
  <c r="Q17" i="1"/>
  <c r="Q190" i="1"/>
  <c r="Q349" i="1"/>
  <c r="Q104" i="1"/>
  <c r="Q271" i="1"/>
  <c r="Q428" i="1"/>
  <c r="Q34" i="1"/>
  <c r="Q207" i="1"/>
  <c r="Q364" i="1"/>
  <c r="Q51" i="1"/>
  <c r="Q222" i="1"/>
  <c r="Q379" i="1"/>
  <c r="Q367" i="1"/>
  <c r="Q252" i="1"/>
  <c r="Q290" i="1"/>
  <c r="Q343" i="1"/>
  <c r="Q13" i="1"/>
  <c r="Q185" i="1"/>
  <c r="Q344" i="1"/>
  <c r="Q144" i="1"/>
  <c r="Q429" i="1"/>
  <c r="Q285" i="1"/>
  <c r="Q141" i="1"/>
  <c r="Q255" i="1"/>
  <c r="Q172" i="1"/>
  <c r="Q87" i="1"/>
  <c r="Q281" i="1"/>
  <c r="Q102" i="1"/>
  <c r="Q269" i="1"/>
  <c r="Q426" i="1"/>
  <c r="Q31" i="1"/>
  <c r="Q205" i="1"/>
  <c r="Q362" i="1"/>
  <c r="Q119" i="1"/>
  <c r="Q284" i="1"/>
  <c r="Q49" i="1"/>
  <c r="Q220" i="1"/>
  <c r="Q377" i="1"/>
  <c r="Q65" i="1"/>
  <c r="Q235" i="1"/>
  <c r="Q392" i="1"/>
  <c r="Q52" i="1"/>
  <c r="Q223" i="1"/>
  <c r="Q380" i="1"/>
  <c r="Q291" i="1"/>
  <c r="Q139" i="1"/>
  <c r="Q303" i="1"/>
  <c r="Q278" i="1"/>
  <c r="Q11" i="1"/>
  <c r="Q396" i="1"/>
  <c r="Q27" i="1"/>
  <c r="Q199" i="1"/>
  <c r="Q358" i="1"/>
  <c r="Q132" i="1"/>
  <c r="Q417" i="1"/>
  <c r="Q273" i="1"/>
  <c r="Q129" i="1"/>
  <c r="Q14" i="1"/>
  <c r="Q186" i="1"/>
  <c r="Q346" i="1"/>
  <c r="Q101" i="1"/>
  <c r="Q294" i="1"/>
  <c r="Q116" i="1"/>
  <c r="Q282" i="1"/>
  <c r="Q46" i="1"/>
  <c r="Q218" i="1"/>
  <c r="Q375" i="1"/>
  <c r="Q134" i="1"/>
  <c r="Q298" i="1"/>
  <c r="Q63" i="1"/>
  <c r="Q233" i="1"/>
  <c r="Q390" i="1"/>
  <c r="Q79" i="1"/>
  <c r="Q248" i="1"/>
  <c r="Q406" i="1"/>
  <c r="Q66" i="1"/>
  <c r="Q236" i="1"/>
  <c r="Q317" i="1"/>
  <c r="Q154" i="1"/>
  <c r="Q316" i="1"/>
  <c r="Q330" i="1"/>
  <c r="Q26" i="1"/>
  <c r="Q41" i="1"/>
  <c r="Q214" i="1"/>
  <c r="Q371" i="1"/>
  <c r="Q120" i="1"/>
  <c r="Q405" i="1"/>
  <c r="Q261" i="1"/>
  <c r="Q117" i="1"/>
  <c r="Q28" i="1"/>
  <c r="Q200" i="1"/>
  <c r="Q359" i="1"/>
  <c r="Q115" i="1"/>
  <c r="Q307" i="1"/>
  <c r="Q131" i="1"/>
  <c r="Q295" i="1"/>
  <c r="Q61" i="1"/>
  <c r="Q231" i="1"/>
  <c r="Q388" i="1"/>
  <c r="Q148" i="1"/>
  <c r="Q311" i="1"/>
  <c r="Q77" i="1"/>
  <c r="Q246" i="1"/>
  <c r="Q403" i="1"/>
  <c r="Q94" i="1"/>
  <c r="Q262" i="1"/>
  <c r="Q419" i="1"/>
  <c r="Q80" i="1"/>
  <c r="Q250" i="1"/>
  <c r="Q407" i="1"/>
  <c r="Q356" i="1"/>
  <c r="Q169" i="1"/>
  <c r="Q329" i="1"/>
  <c r="Q370" i="1"/>
  <c r="Q54" i="1"/>
  <c r="Q55" i="1"/>
  <c r="Q227" i="1"/>
  <c r="Q384" i="1"/>
  <c r="Q108" i="1"/>
  <c r="Q393" i="1"/>
  <c r="Q249" i="1"/>
  <c r="Q105" i="1"/>
  <c r="Q42" i="1"/>
  <c r="Q215" i="1"/>
  <c r="Q372" i="1"/>
  <c r="Q130" i="1"/>
  <c r="Q320" i="1"/>
  <c r="Q146" i="1"/>
  <c r="Q308" i="1"/>
  <c r="Q75" i="1"/>
  <c r="Q244" i="1"/>
  <c r="Q401" i="1"/>
  <c r="Q162" i="1"/>
  <c r="Q324" i="1"/>
  <c r="Q91" i="1"/>
  <c r="Q259" i="1"/>
  <c r="Q416" i="1"/>
  <c r="Q109" i="1"/>
  <c r="Q275" i="1"/>
  <c r="Q432" i="1"/>
  <c r="Q412" i="1"/>
  <c r="Q95" i="1"/>
  <c r="Q263" i="1"/>
  <c r="Q420" i="1"/>
  <c r="Q383" i="1"/>
  <c r="Q10" i="1"/>
  <c r="Q183" i="1"/>
  <c r="Q342" i="1"/>
  <c r="Q409" i="1"/>
  <c r="Q68" i="1"/>
  <c r="Q70" i="1"/>
  <c r="Q240" i="1"/>
  <c r="Q397" i="1"/>
  <c r="Q96" i="1"/>
  <c r="Q381" i="1"/>
  <c r="Q237" i="1"/>
  <c r="Q93" i="1"/>
  <c r="Q56" i="1"/>
  <c r="Q228" i="1"/>
  <c r="Q385" i="1"/>
  <c r="Q145" i="1"/>
  <c r="Q334" i="1"/>
  <c r="Q160" i="1"/>
  <c r="Q322" i="1"/>
  <c r="Q89" i="1"/>
  <c r="Q257" i="1"/>
  <c r="Q414" i="1"/>
  <c r="Q4" i="1"/>
  <c r="Q176" i="1"/>
  <c r="Q337" i="1"/>
  <c r="Q106" i="1"/>
  <c r="Q272" i="1"/>
  <c r="Q430" i="1"/>
  <c r="Q123" i="1"/>
  <c r="Q288" i="1"/>
  <c r="Q110" i="1"/>
  <c r="Q276" i="1"/>
  <c r="Q433" i="1"/>
  <c r="Q422" i="1"/>
  <c r="Q25" i="1"/>
  <c r="Q197" i="1"/>
  <c r="Q355" i="1"/>
  <c r="Q83" i="1"/>
  <c r="Q85" i="1"/>
  <c r="Q253" i="1"/>
  <c r="Q410" i="1"/>
  <c r="Q84" i="1"/>
  <c r="Q369" i="1"/>
  <c r="Q225" i="1"/>
  <c r="Q81" i="1"/>
  <c r="Q71" i="1"/>
  <c r="Q241" i="1"/>
  <c r="Q398" i="1"/>
  <c r="Q159" i="1"/>
  <c r="Q347" i="1"/>
  <c r="Q174" i="1"/>
  <c r="Q335" i="1"/>
  <c r="Q103" i="1"/>
  <c r="Q270" i="1"/>
  <c r="Q427" i="1"/>
  <c r="Q18" i="1"/>
  <c r="Q191" i="1"/>
  <c r="Q350" i="1"/>
  <c r="Q121" i="1"/>
  <c r="Q286" i="1"/>
  <c r="Q137" i="1"/>
  <c r="Q301" i="1"/>
  <c r="Q229" i="1"/>
  <c r="Q74" i="1"/>
  <c r="Q124" i="1"/>
  <c r="Q289" i="1"/>
  <c r="Q98" i="1"/>
  <c r="Q39" i="1"/>
  <c r="Q211" i="1"/>
  <c r="Q368" i="1"/>
  <c r="Q112" i="1"/>
  <c r="Q99" i="1"/>
  <c r="Q266" i="1"/>
  <c r="Q423" i="1"/>
  <c r="Q72" i="1"/>
  <c r="Q357" i="1"/>
  <c r="Q213" i="1"/>
  <c r="Q69" i="1"/>
  <c r="Q86" i="1"/>
  <c r="Q254" i="1"/>
  <c r="Q411" i="1"/>
  <c r="Q173" i="1"/>
  <c r="Q360" i="1"/>
  <c r="Q16" i="1"/>
  <c r="Q188" i="1"/>
  <c r="Q348" i="1"/>
  <c r="Q118" i="1"/>
  <c r="Q283" i="1"/>
  <c r="Q32" i="1"/>
  <c r="Q206" i="1"/>
  <c r="Q363" i="1"/>
  <c r="Q135" i="1"/>
  <c r="Q299" i="1"/>
  <c r="Q151" i="1"/>
  <c r="Q314" i="1"/>
  <c r="Q37" i="1"/>
  <c r="Q138" i="1"/>
  <c r="Q126" i="1"/>
  <c r="Q53" i="1"/>
  <c r="Q224" i="1"/>
  <c r="Q382" i="1"/>
  <c r="Q140" i="1"/>
  <c r="Q113" i="1"/>
  <c r="Q279" i="1"/>
  <c r="Q204" i="1"/>
  <c r="Q60" i="1"/>
  <c r="Q345" i="1"/>
  <c r="Q201" i="1"/>
  <c r="Q57" i="1"/>
  <c r="Q100" i="1"/>
  <c r="Q267" i="1"/>
  <c r="Q424" i="1"/>
  <c r="Q15" i="1"/>
  <c r="Q187" i="1"/>
  <c r="Q373" i="1"/>
  <c r="Q30" i="1"/>
  <c r="Q203" i="1"/>
  <c r="Q361" i="1"/>
  <c r="Q133" i="1"/>
  <c r="Q296" i="1"/>
  <c r="Q47" i="1"/>
  <c r="Q219" i="1"/>
  <c r="Q376" i="1"/>
  <c r="Q149" i="1"/>
  <c r="Q312" i="1"/>
  <c r="Q166" i="1"/>
  <c r="Q327" i="1"/>
  <c r="Q152" i="1"/>
  <c r="Q315" i="1"/>
  <c r="Q155" i="1"/>
  <c r="Q67" i="1"/>
  <c r="Q238" i="1"/>
  <c r="Q395" i="1"/>
  <c r="Q184" i="1"/>
  <c r="Q127" i="1"/>
  <c r="Q292" i="1"/>
  <c r="Q192" i="1"/>
  <c r="Q48" i="1"/>
  <c r="Q333" i="1"/>
  <c r="Q189" i="1"/>
  <c r="Q45" i="1"/>
  <c r="Q114" i="1"/>
  <c r="Q280" i="1"/>
  <c r="Q268" i="1"/>
  <c r="Q29" i="1"/>
  <c r="Q202" i="1"/>
  <c r="Q386" i="1"/>
  <c r="Q44" i="1"/>
  <c r="Q217" i="1"/>
  <c r="Q374" i="1"/>
  <c r="Q147" i="1"/>
  <c r="Q310" i="1"/>
  <c r="Q62" i="1"/>
  <c r="Q232" i="1"/>
  <c r="Q389" i="1"/>
  <c r="Q163" i="1"/>
  <c r="Q325" i="1"/>
  <c r="Q7" i="1"/>
  <c r="Q181" i="1"/>
  <c r="Q340" i="1"/>
</calcChain>
</file>

<file path=xl/sharedStrings.xml><?xml version="1.0" encoding="utf-8"?>
<sst xmlns="http://schemas.openxmlformats.org/spreadsheetml/2006/main" count="881" uniqueCount="64">
  <si>
    <t>Domestic Tourists</t>
  </si>
  <si>
    <t>Foreign Tourists</t>
  </si>
  <si>
    <t>Revenue_Per_Tourist_INR</t>
  </si>
  <si>
    <t>Seasonality_Index</t>
  </si>
  <si>
    <t>Growth % (Approx.)</t>
  </si>
  <si>
    <t>Foreign_Revenue_Percent</t>
  </si>
  <si>
    <t>Total Tourists</t>
  </si>
  <si>
    <t>Foreign Tourist Share</t>
  </si>
  <si>
    <t>Domestic Tourists_norm</t>
  </si>
  <si>
    <t>Foreign Tourists_norm</t>
  </si>
  <si>
    <t>Revenue_Per_Tourist_INR_norm</t>
  </si>
  <si>
    <t>Growth % (Approx.)_norm</t>
  </si>
  <si>
    <t>Seasonality_Index_norm</t>
  </si>
  <si>
    <t>TPI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</si>
  <si>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</si>
  <si>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</si>
  <si>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</si>
  <si>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</si>
  <si>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</si>
  <si>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</si>
  <si>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</si>
  <si>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</si>
  <si>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</si>
  <si>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</si>
  <si>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</si>
  <si>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</si>
  <si>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</si>
  <si>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</si>
  <si>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</si>
  <si>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</si>
  <si>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</si>
  <si>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</si>
  <si>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</si>
  <si>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</si>
  <si>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</si>
  <si>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</si>
  <si>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</si>
  <si>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</si>
  <si>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</si>
  <si>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</si>
  <si>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</si>
  <si>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</si>
  <si>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</si>
  <si>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&amp; Kashmir</t>
  </si>
  <si>
    <t>Ladakh</t>
  </si>
  <si>
    <t>Puducherry</t>
  </si>
  <si>
    <t>Chandigarh</t>
  </si>
  <si>
    <t>Andaman &amp; Nicobar Islands</t>
  </si>
  <si>
    <t>Lakshadweep</t>
  </si>
  <si>
    <t>Daman &amp; Diu</t>
  </si>
  <si>
    <t>State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</si>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</sst>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6"/>
  <sheetViews>
    <sheetView tabSelected="1" workbookViewId="0"/>
  </sheetViews>
  <sheetFormatPr defaultRowHeight="14.4" x14ac:dyDescent="0.3"/>
  <cols>
    <col min="1" max="1" width="15.88671875" bestFit="1" customWidth="1"/>
    <col min="2" max="2" width="15.6640625" bestFit="1" customWidth="1"/>
    <col min="3" max="3" width="15.88671875" bestFit="1" customWidth="1"/>
    <col min="4" max="4" width="14.33203125" bestFit="1" customWidth="1"/>
    <col min="5" max="5" width="23.21875" bestFit="1" customWidth="1"/>
    <col min="6" max="6" width="16.33203125" bestFit="1" customWidth="1"/>
    <col min="7" max="7" width="17.77734375" bestFit="1" customWidth="1"/>
    <col min="8" max="8" width="23.33203125" bestFit="1" customWidth="1"/>
    <col min="9" max="9" width="14.33203125" bestFit="1" customWidth="1"/>
    <col min="10" max="10" width="12.21875" bestFit="1" customWidth="1"/>
    <col min="11" max="11" width="18.88671875" bestFit="1" customWidth="1"/>
    <col min="12" max="12" width="28.88671875" bestFit="1" customWidth="1"/>
    <col min="13" max="13" width="23.44140625" bestFit="1" customWidth="1"/>
    <col min="14" max="14" width="28.88671875" bestFit="1" customWidth="1"/>
    <col min="15" max="15" width="23.44140625" bestFit="1" customWidth="1"/>
    <col min="17" max="17" width="12" bestFit="1" customWidth="1"/>
  </cols>
  <sheetData>
    <row r="1" spans="1:17" x14ac:dyDescent="0.3">
      <c r="A1" s="3" t="s">
        <v>63</v>
      </c>
      <c r="B1" s="3" t="s">
        <v>50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1</v>
      </c>
      <c r="J1" s="4" t="s">
        <v>6</v>
      </c>
      <c r="K1" s="4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</row>
    <row r="2" spans="1:17" x14ac:dyDescent="0.3">
      <c r="A2" s="2" t="s">
        <v>51</v>
      </c>
      <c r="B2" s="2" t="s">
        <v>14</v>
      </c>
      <c r="C2">
        <v>2539148</v>
      </c>
      <c r="D2">
        <v>68865</v>
      </c>
      <c r="E2">
        <v>206.63240559000201</v>
      </c>
      <c r="F2">
        <v>38.268120590121796</v>
      </c>
      <c r="G2">
        <v>6.38</v>
      </c>
      <c r="H2">
        <v>9.7867980194755297</v>
      </c>
      <c r="I2">
        <v>68865</v>
      </c>
      <c r="J2">
        <v>2608013</v>
      </c>
      <c r="K2" s="1">
        <f>I2/J2</f>
        <v>2.6405159790231107E-2</v>
      </c>
      <c r="L2" s="1">
        <f>(C2-$A$435)/($A$436-$A$435)</f>
        <v>0.50324985932202049</v>
      </c>
      <c r="M2" s="1">
        <f>(D2-$B$435)/($B$436-$B$435)</f>
        <v>0.34101333656276966</v>
      </c>
      <c r="N2" s="1">
        <f>(E2-$C$435)/($C$436-$C$435)</f>
        <v>0.78169106832502577</v>
      </c>
      <c r="O2" s="1">
        <f>(G2-$E$435)/($E$436-$E$435)</f>
        <v>0.56788247213779131</v>
      </c>
      <c r="P2" s="1">
        <f>(F2-$D$435)/($D$436-$D$435)</f>
        <v>0.38894186705017131</v>
      </c>
      <c r="Q2">
        <f>(0.35)*(L2)+(0.25)*(M2)+(0.2)*(N2)+(0.1)*(O2)+(0.1)*(P2)</f>
        <v>0.513411432487201</v>
      </c>
    </row>
    <row r="3" spans="1:17" x14ac:dyDescent="0.3">
      <c r="A3" s="2" t="s">
        <v>51</v>
      </c>
      <c r="B3" s="2" t="s">
        <v>15</v>
      </c>
      <c r="C3">
        <v>4187930</v>
      </c>
      <c r="D3">
        <v>44980</v>
      </c>
      <c r="E3">
        <v>239.197148061262</v>
      </c>
      <c r="F3">
        <v>159.78191148171899</v>
      </c>
      <c r="G3">
        <v>6.33</v>
      </c>
      <c r="H3">
        <v>4.11918907471639</v>
      </c>
      <c r="I3">
        <v>44980</v>
      </c>
      <c r="J3">
        <v>4232910</v>
      </c>
      <c r="K3" s="1">
        <f t="shared" ref="K3:K66" si="0">I3/J3</f>
        <v>1.0626259476341335E-2</v>
      </c>
      <c r="L3" s="1">
        <f t="shared" ref="L3:L66" si="1">(C3-$A$435)/($A$436-$A$435)</f>
        <v>0.8380709642477906</v>
      </c>
      <c r="M3" s="1">
        <f t="shared" ref="M3:M66" si="2">(D3-$B$435)/($B$436-$B$435)</f>
        <v>0.22048976420068928</v>
      </c>
      <c r="N3" s="1">
        <f t="shared" ref="N3:N66" si="3">(E3-$C$435)/($C$436-$C$435)</f>
        <v>0.94571713248699485</v>
      </c>
      <c r="O3" s="1">
        <f t="shared" ref="O3:O66" si="4">(G3-$E$435)/($E$436-$E$435)</f>
        <v>0.56534954407294824</v>
      </c>
      <c r="P3" s="1">
        <f t="shared" ref="P3:P66" si="5">(F3-$D$435)/($D$436-$D$435)</f>
        <v>0.73697459612610439</v>
      </c>
      <c r="Q3">
        <f t="shared" ref="Q3:Q66" si="6">(0.35)*(L3)+(0.25)*(M3)+(0.2)*(N3)+(0.1)*(O3)+(0.1)*(P3)</f>
        <v>0.66782311905420322</v>
      </c>
    </row>
    <row r="4" spans="1:17" x14ac:dyDescent="0.3">
      <c r="A4" s="2" t="s">
        <v>51</v>
      </c>
      <c r="B4" s="2" t="s">
        <v>16</v>
      </c>
      <c r="C4">
        <v>149336</v>
      </c>
      <c r="D4">
        <v>99155</v>
      </c>
      <c r="E4">
        <v>230.59185242121401</v>
      </c>
      <c r="F4">
        <v>-85.298268120590095</v>
      </c>
      <c r="G4">
        <v>-4.5599999999999996</v>
      </c>
      <c r="H4">
        <v>72.646879968348998</v>
      </c>
      <c r="I4">
        <v>99155</v>
      </c>
      <c r="J4">
        <v>248491</v>
      </c>
      <c r="K4" s="1">
        <f t="shared" si="0"/>
        <v>0.39902853624477347</v>
      </c>
      <c r="L4" s="1">
        <f t="shared" si="1"/>
        <v>1.7946469058865839E-2</v>
      </c>
      <c r="M4" s="1">
        <f t="shared" si="2"/>
        <v>0.49385650201587472</v>
      </c>
      <c r="N4" s="1">
        <f t="shared" si="3"/>
        <v>0.9023729305166297</v>
      </c>
      <c r="O4" s="1">
        <f t="shared" si="4"/>
        <v>1.3677811550151998E-2</v>
      </c>
      <c r="P4" s="1">
        <f t="shared" si="5"/>
        <v>3.5030206739847816E-2</v>
      </c>
      <c r="Q4">
        <f t="shared" si="6"/>
        <v>0.31509077760689763</v>
      </c>
    </row>
    <row r="5" spans="1:17" x14ac:dyDescent="0.3">
      <c r="A5" s="2" t="s">
        <v>51</v>
      </c>
      <c r="B5" s="2" t="s">
        <v>17</v>
      </c>
      <c r="C5">
        <v>473311</v>
      </c>
      <c r="D5">
        <v>19820</v>
      </c>
      <c r="E5">
        <v>99.770649178412995</v>
      </c>
      <c r="F5">
        <v>-87.376523412443802</v>
      </c>
      <c r="G5">
        <v>-1.42</v>
      </c>
      <c r="H5">
        <v>14.346958238552499</v>
      </c>
      <c r="I5">
        <v>19820</v>
      </c>
      <c r="J5">
        <v>493131</v>
      </c>
      <c r="K5" s="1">
        <f t="shared" si="0"/>
        <v>4.0192159892604599E-2</v>
      </c>
      <c r="L5" s="1">
        <f t="shared" si="1"/>
        <v>8.3736650822329048E-2</v>
      </c>
      <c r="M5" s="1">
        <f t="shared" si="2"/>
        <v>9.3532549185828831E-2</v>
      </c>
      <c r="N5" s="1">
        <f t="shared" si="3"/>
        <v>0.24343674836234058</v>
      </c>
      <c r="O5" s="1">
        <f t="shared" si="4"/>
        <v>0.17274569402228976</v>
      </c>
      <c r="P5" s="1">
        <f t="shared" si="5"/>
        <v>2.9077788865027297E-2</v>
      </c>
      <c r="Q5">
        <f t="shared" si="6"/>
        <v>0.12156066304547221</v>
      </c>
    </row>
    <row r="6" spans="1:17" x14ac:dyDescent="0.3">
      <c r="A6" s="2" t="s">
        <v>51</v>
      </c>
      <c r="B6" s="2" t="s">
        <v>18</v>
      </c>
      <c r="C6">
        <v>2475117</v>
      </c>
      <c r="D6">
        <v>35517</v>
      </c>
      <c r="E6">
        <v>61.020443441776003</v>
      </c>
      <c r="F6">
        <v>-60.6927517639512</v>
      </c>
      <c r="G6">
        <v>7.81</v>
      </c>
      <c r="H6">
        <v>5.4282750359642096</v>
      </c>
      <c r="I6">
        <v>35517</v>
      </c>
      <c r="J6">
        <v>2510634</v>
      </c>
      <c r="K6" s="1">
        <f t="shared" si="0"/>
        <v>1.4146625912020629E-2</v>
      </c>
      <c r="L6" s="1">
        <f t="shared" si="1"/>
        <v>0.49024696981358212</v>
      </c>
      <c r="M6" s="1">
        <f t="shared" si="2"/>
        <v>0.17273952073146731</v>
      </c>
      <c r="N6" s="1">
        <f t="shared" si="3"/>
        <v>4.8254988885610507E-2</v>
      </c>
      <c r="O6" s="1">
        <f t="shared" si="4"/>
        <v>0.64032421479229984</v>
      </c>
      <c r="P6" s="1">
        <f t="shared" si="5"/>
        <v>0.10550389491210713</v>
      </c>
      <c r="Q6">
        <f t="shared" si="6"/>
        <v>0.29900512836518339</v>
      </c>
    </row>
    <row r="7" spans="1:17" x14ac:dyDescent="0.3">
      <c r="A7" s="2" t="s">
        <v>51</v>
      </c>
      <c r="B7" s="2" t="s">
        <v>19</v>
      </c>
      <c r="C7">
        <v>2512425</v>
      </c>
      <c r="D7">
        <v>191802</v>
      </c>
      <c r="E7">
        <v>212.11237074402399</v>
      </c>
      <c r="F7">
        <v>47.171263630532302</v>
      </c>
      <c r="G7">
        <v>-1.45</v>
      </c>
      <c r="H7">
        <v>23.393105265131801</v>
      </c>
      <c r="I7">
        <v>191802</v>
      </c>
      <c r="J7">
        <v>2704227</v>
      </c>
      <c r="K7" s="1">
        <f t="shared" si="0"/>
        <v>7.0926738029019012E-2</v>
      </c>
      <c r="L7" s="1">
        <f t="shared" si="1"/>
        <v>0.49782317199347653</v>
      </c>
      <c r="M7" s="1">
        <f t="shared" si="2"/>
        <v>0.96135273013518219</v>
      </c>
      <c r="N7" s="1">
        <f t="shared" si="3"/>
        <v>0.8092932247600797</v>
      </c>
      <c r="O7" s="1">
        <f t="shared" si="4"/>
        <v>0.17122593718338397</v>
      </c>
      <c r="P7" s="1">
        <f t="shared" si="5"/>
        <v>0.4144417312793412</v>
      </c>
      <c r="Q7">
        <f t="shared" si="6"/>
        <v>0.63500170452980076</v>
      </c>
    </row>
    <row r="8" spans="1:17" x14ac:dyDescent="0.3">
      <c r="A8" s="2" t="s">
        <v>51</v>
      </c>
      <c r="B8" s="2" t="s">
        <v>20</v>
      </c>
      <c r="C8">
        <v>4243773</v>
      </c>
      <c r="D8">
        <v>42897</v>
      </c>
      <c r="E8">
        <v>67.884861675846196</v>
      </c>
      <c r="F8">
        <v>-25.3367543296985</v>
      </c>
      <c r="G8">
        <v>-3.04</v>
      </c>
      <c r="H8">
        <v>3.8861601576858602</v>
      </c>
      <c r="I8">
        <v>42897</v>
      </c>
      <c r="J8">
        <v>4286670</v>
      </c>
      <c r="K8" s="1">
        <f t="shared" si="0"/>
        <v>1.0007068423741506E-2</v>
      </c>
      <c r="L8" s="1">
        <f t="shared" si="1"/>
        <v>0.84941110197513714</v>
      </c>
      <c r="M8" s="1">
        <f t="shared" si="2"/>
        <v>0.20997895820402973</v>
      </c>
      <c r="N8" s="1">
        <f t="shared" si="3"/>
        <v>8.2830527343803126E-2</v>
      </c>
      <c r="O8" s="1">
        <f t="shared" si="4"/>
        <v>9.0678824721377907E-2</v>
      </c>
      <c r="P8" s="1">
        <f t="shared" si="5"/>
        <v>0.20676848542448789</v>
      </c>
      <c r="Q8">
        <f t="shared" si="6"/>
        <v>0.39609946172565264</v>
      </c>
    </row>
    <row r="9" spans="1:17" x14ac:dyDescent="0.3">
      <c r="A9" s="2" t="s">
        <v>51</v>
      </c>
      <c r="B9" s="2" t="s">
        <v>21</v>
      </c>
      <c r="C9">
        <v>3092177</v>
      </c>
      <c r="D9">
        <v>165625</v>
      </c>
      <c r="E9">
        <v>158.57317295526201</v>
      </c>
      <c r="F9">
        <v>32.5465041693393</v>
      </c>
      <c r="G9">
        <v>4.7300000000000004</v>
      </c>
      <c r="H9">
        <v>17.644660246407302</v>
      </c>
      <c r="I9">
        <v>165625</v>
      </c>
      <c r="J9">
        <v>3257802</v>
      </c>
      <c r="K9" s="1">
        <f t="shared" si="0"/>
        <v>5.0839492393951503E-2</v>
      </c>
      <c r="L9" s="1">
        <f t="shared" si="1"/>
        <v>0.61555444588106456</v>
      </c>
      <c r="M9" s="1">
        <f t="shared" si="2"/>
        <v>0.82926373898081007</v>
      </c>
      <c r="N9" s="1">
        <f t="shared" si="3"/>
        <v>0.53962046750028481</v>
      </c>
      <c r="O9" s="1">
        <f t="shared" si="4"/>
        <v>0.48429584599797365</v>
      </c>
      <c r="P9" s="1">
        <f t="shared" si="5"/>
        <v>0.37255434623430728</v>
      </c>
      <c r="Q9">
        <f t="shared" si="6"/>
        <v>0.61636910352686014</v>
      </c>
    </row>
    <row r="10" spans="1:17" x14ac:dyDescent="0.3">
      <c r="A10" s="2" t="s">
        <v>51</v>
      </c>
      <c r="B10" s="2" t="s">
        <v>22</v>
      </c>
      <c r="C10">
        <v>4162093</v>
      </c>
      <c r="D10">
        <v>167741</v>
      </c>
      <c r="E10">
        <v>144.601386565859</v>
      </c>
      <c r="F10">
        <v>60.641436818473302</v>
      </c>
      <c r="G10">
        <v>14.07</v>
      </c>
      <c r="H10">
        <v>13.8828075067188</v>
      </c>
      <c r="I10">
        <v>167741</v>
      </c>
      <c r="J10">
        <v>4329834</v>
      </c>
      <c r="K10" s="1">
        <f t="shared" si="0"/>
        <v>3.8740746181031419E-2</v>
      </c>
      <c r="L10" s="1">
        <f t="shared" si="1"/>
        <v>0.83282419852135314</v>
      </c>
      <c r="M10" s="1">
        <f t="shared" si="2"/>
        <v>0.83994106278730629</v>
      </c>
      <c r="N10" s="1">
        <f t="shared" si="3"/>
        <v>0.46924567080756979</v>
      </c>
      <c r="O10" s="1">
        <f t="shared" si="4"/>
        <v>0.95744680851063813</v>
      </c>
      <c r="P10" s="1">
        <f t="shared" si="5"/>
        <v>0.45302221750503063</v>
      </c>
      <c r="Q10">
        <f t="shared" si="6"/>
        <v>0.73636977194238096</v>
      </c>
    </row>
    <row r="11" spans="1:17" x14ac:dyDescent="0.3">
      <c r="A11" s="2" t="s">
        <v>51</v>
      </c>
      <c r="B11" s="2" t="s">
        <v>23</v>
      </c>
      <c r="C11">
        <v>4060177</v>
      </c>
      <c r="D11">
        <v>33775</v>
      </c>
      <c r="E11">
        <v>59.404702351175501</v>
      </c>
      <c r="F11">
        <v>-37.601026298909503</v>
      </c>
      <c r="G11">
        <v>6.78</v>
      </c>
      <c r="H11">
        <v>3.2202879571479999</v>
      </c>
      <c r="I11">
        <v>33775</v>
      </c>
      <c r="J11">
        <v>4093952</v>
      </c>
      <c r="K11" s="1">
        <f t="shared" si="0"/>
        <v>8.2499745966733359E-3</v>
      </c>
      <c r="L11" s="1">
        <f t="shared" si="1"/>
        <v>0.81212793441268694</v>
      </c>
      <c r="M11" s="1">
        <f t="shared" si="2"/>
        <v>0.16394939876978659</v>
      </c>
      <c r="N11" s="1">
        <f t="shared" si="3"/>
        <v>4.0116627219466072E-2</v>
      </c>
      <c r="O11" s="1">
        <f t="shared" si="4"/>
        <v>0.58814589665653483</v>
      </c>
      <c r="P11" s="1">
        <f t="shared" si="5"/>
        <v>0.17164187129900318</v>
      </c>
      <c r="Q11">
        <f t="shared" si="6"/>
        <v>0.4092342289763341</v>
      </c>
    </row>
    <row r="12" spans="1:17" x14ac:dyDescent="0.3">
      <c r="A12" s="2" t="s">
        <v>51</v>
      </c>
      <c r="B12" s="2" t="s">
        <v>24</v>
      </c>
      <c r="C12">
        <v>4950452</v>
      </c>
      <c r="D12">
        <v>173983</v>
      </c>
      <c r="E12">
        <v>80.984537807582598</v>
      </c>
      <c r="F12">
        <v>6.4785118665811297</v>
      </c>
      <c r="G12">
        <v>4.1100000000000003</v>
      </c>
      <c r="H12">
        <v>12.325268702943299</v>
      </c>
      <c r="I12">
        <v>173983</v>
      </c>
      <c r="J12">
        <v>5124435</v>
      </c>
      <c r="K12" s="1">
        <f t="shared" si="0"/>
        <v>3.3951645400907615E-2</v>
      </c>
      <c r="L12" s="1">
        <f t="shared" si="1"/>
        <v>0.99291766840286277</v>
      </c>
      <c r="M12" s="1">
        <f t="shared" si="2"/>
        <v>0.87143815881762265</v>
      </c>
      <c r="N12" s="1">
        <f t="shared" si="3"/>
        <v>0.14881257279008711</v>
      </c>
      <c r="O12" s="1">
        <f t="shared" si="4"/>
        <v>0.45288753799392101</v>
      </c>
      <c r="P12" s="1">
        <f t="shared" si="5"/>
        <v>0.29789191955754457</v>
      </c>
      <c r="Q12">
        <f t="shared" si="6"/>
        <v>0.67022118395857155</v>
      </c>
    </row>
    <row r="13" spans="1:17" x14ac:dyDescent="0.3">
      <c r="A13" s="2" t="s">
        <v>51</v>
      </c>
      <c r="B13" s="2" t="s">
        <v>25</v>
      </c>
      <c r="C13">
        <v>1257156</v>
      </c>
      <c r="D13">
        <v>39975</v>
      </c>
      <c r="E13">
        <v>154.49480430272601</v>
      </c>
      <c r="F13">
        <v>-48.582424631173801</v>
      </c>
      <c r="G13">
        <v>-4.34</v>
      </c>
      <c r="H13">
        <v>11.283957726441299</v>
      </c>
      <c r="I13">
        <v>39975</v>
      </c>
      <c r="J13">
        <v>1297131</v>
      </c>
      <c r="K13" s="1">
        <f t="shared" si="0"/>
        <v>3.081801298403939E-2</v>
      </c>
      <c r="L13" s="1">
        <f t="shared" si="1"/>
        <v>0.24291345466331002</v>
      </c>
      <c r="M13" s="1">
        <f t="shared" si="2"/>
        <v>0.19523456304212899</v>
      </c>
      <c r="N13" s="1">
        <f t="shared" si="3"/>
        <v>0.51907804316306116</v>
      </c>
      <c r="O13" s="1">
        <f t="shared" si="4"/>
        <v>2.4822695035461001E-2</v>
      </c>
      <c r="P13" s="1">
        <f t="shared" si="5"/>
        <v>0.14018958919501254</v>
      </c>
      <c r="Q13">
        <f t="shared" si="6"/>
        <v>0.25414518694835037</v>
      </c>
    </row>
    <row r="14" spans="1:17" x14ac:dyDescent="0.3">
      <c r="A14" s="2" t="s">
        <v>51</v>
      </c>
      <c r="B14" s="2" t="s">
        <v>26</v>
      </c>
      <c r="C14">
        <v>4860784</v>
      </c>
      <c r="D14">
        <v>66573</v>
      </c>
      <c r="E14">
        <v>97.780615449621294</v>
      </c>
      <c r="F14">
        <v>6.91223787861977</v>
      </c>
      <c r="G14">
        <v>3.84</v>
      </c>
      <c r="H14">
        <v>5.1938375791581697</v>
      </c>
      <c r="I14">
        <v>66573</v>
      </c>
      <c r="J14">
        <v>4927357</v>
      </c>
      <c r="K14" s="1">
        <f t="shared" si="0"/>
        <v>1.3510894380090585E-2</v>
      </c>
      <c r="L14" s="1">
        <f t="shared" si="1"/>
        <v>0.97470862752512155</v>
      </c>
      <c r="M14" s="1">
        <f t="shared" si="2"/>
        <v>0.32944791777047788</v>
      </c>
      <c r="N14" s="1">
        <f t="shared" si="3"/>
        <v>0.23341310391401277</v>
      </c>
      <c r="O14" s="1">
        <f t="shared" si="4"/>
        <v>0.43920972644376893</v>
      </c>
      <c r="P14" s="1">
        <f t="shared" si="5"/>
        <v>0.29913417236303635</v>
      </c>
      <c r="Q14">
        <f t="shared" si="6"/>
        <v>0.54402700973989504</v>
      </c>
    </row>
    <row r="15" spans="1:17" x14ac:dyDescent="0.3">
      <c r="A15" s="2" t="s">
        <v>51</v>
      </c>
      <c r="B15" s="2" t="s">
        <v>27</v>
      </c>
      <c r="C15">
        <v>251348</v>
      </c>
      <c r="D15">
        <v>143187</v>
      </c>
      <c r="E15">
        <v>57.282623848327702</v>
      </c>
      <c r="F15">
        <v>-94.985021635415507</v>
      </c>
      <c r="G15">
        <v>0.84</v>
      </c>
      <c r="H15">
        <v>69.500155321709997</v>
      </c>
      <c r="I15">
        <v>143187</v>
      </c>
      <c r="J15">
        <v>394535</v>
      </c>
      <c r="K15" s="1">
        <f t="shared" si="0"/>
        <v>0.36292597614913757</v>
      </c>
      <c r="L15" s="1">
        <f t="shared" si="1"/>
        <v>3.866222805895661E-2</v>
      </c>
      <c r="M15" s="1">
        <f t="shared" si="2"/>
        <v>0.7160417202803554</v>
      </c>
      <c r="N15" s="1">
        <f t="shared" si="3"/>
        <v>2.9427883558371774E-2</v>
      </c>
      <c r="O15" s="1">
        <f t="shared" si="4"/>
        <v>0.28723404255319146</v>
      </c>
      <c r="P15" s="1">
        <f t="shared" si="5"/>
        <v>7.2859709875608301E-3</v>
      </c>
      <c r="Q15">
        <f t="shared" si="6"/>
        <v>0.22787978795647326</v>
      </c>
    </row>
    <row r="16" spans="1:17" x14ac:dyDescent="0.3">
      <c r="A16" s="2" t="s">
        <v>51</v>
      </c>
      <c r="B16" s="2" t="s">
        <v>28</v>
      </c>
      <c r="C16">
        <v>1377738</v>
      </c>
      <c r="D16">
        <v>17655</v>
      </c>
      <c r="E16">
        <v>108.57156371000799</v>
      </c>
      <c r="F16">
        <v>-66.381892821479994</v>
      </c>
      <c r="G16">
        <v>-4.33</v>
      </c>
      <c r="H16">
        <v>4.8758663258669399</v>
      </c>
      <c r="I16">
        <v>17655</v>
      </c>
      <c r="J16">
        <v>1395393</v>
      </c>
      <c r="K16" s="1">
        <f t="shared" si="0"/>
        <v>1.2652349553136643E-2</v>
      </c>
      <c r="L16" s="1">
        <f t="shared" si="1"/>
        <v>0.26740025672335144</v>
      </c>
      <c r="M16" s="1">
        <f t="shared" si="2"/>
        <v>8.2607971661696367E-2</v>
      </c>
      <c r="N16" s="1">
        <f t="shared" si="3"/>
        <v>0.2877662674094339</v>
      </c>
      <c r="O16" s="1">
        <f t="shared" si="4"/>
        <v>2.5329280648429583E-2</v>
      </c>
      <c r="P16" s="1">
        <f t="shared" si="5"/>
        <v>8.9209388141957419E-2</v>
      </c>
      <c r="Q16">
        <f t="shared" si="6"/>
        <v>0.18324920312952259</v>
      </c>
    </row>
    <row r="17" spans="1:17" x14ac:dyDescent="0.3">
      <c r="A17" s="2" t="s">
        <v>51</v>
      </c>
      <c r="B17" s="2" t="s">
        <v>29</v>
      </c>
      <c r="C17">
        <v>3141951</v>
      </c>
      <c r="D17">
        <v>51026</v>
      </c>
      <c r="E17">
        <v>120.076029360687</v>
      </c>
      <c r="F17">
        <v>-14.922889160102001</v>
      </c>
      <c r="G17">
        <v>12.4</v>
      </c>
      <c r="H17">
        <v>6.0998399607896401</v>
      </c>
      <c r="I17">
        <v>51026</v>
      </c>
      <c r="J17">
        <v>3192977</v>
      </c>
      <c r="K17" s="1">
        <f t="shared" si="0"/>
        <v>1.5980697637345963E-2</v>
      </c>
      <c r="L17" s="1">
        <f t="shared" si="1"/>
        <v>0.62566214094116057</v>
      </c>
      <c r="M17" s="1">
        <f t="shared" si="2"/>
        <v>0.2509978453604606</v>
      </c>
      <c r="N17" s="1">
        <f t="shared" si="3"/>
        <v>0.34571336226617488</v>
      </c>
      <c r="O17" s="1">
        <f t="shared" si="4"/>
        <v>0.87284701114488339</v>
      </c>
      <c r="P17" s="1">
        <f t="shared" si="5"/>
        <v>0.23659527206829184</v>
      </c>
      <c r="Q17">
        <f t="shared" si="6"/>
        <v>0.46181811144407381</v>
      </c>
    </row>
    <row r="18" spans="1:17" x14ac:dyDescent="0.3">
      <c r="A18" s="2" t="s">
        <v>51</v>
      </c>
      <c r="B18" s="2" t="s">
        <v>30</v>
      </c>
      <c r="C18">
        <v>2712725</v>
      </c>
      <c r="D18">
        <v>34575</v>
      </c>
      <c r="E18">
        <v>192.15229498052599</v>
      </c>
      <c r="F18">
        <v>17.141906135581898</v>
      </c>
      <c r="G18">
        <v>1.05</v>
      </c>
      <c r="H18">
        <v>4.8508869617067498</v>
      </c>
      <c r="I18">
        <v>34575</v>
      </c>
      <c r="J18">
        <v>2747300</v>
      </c>
      <c r="K18" s="1">
        <f t="shared" si="0"/>
        <v>1.2585083536563171E-2</v>
      </c>
      <c r="L18" s="1">
        <f t="shared" si="1"/>
        <v>0.53849845066381119</v>
      </c>
      <c r="M18" s="1">
        <f t="shared" si="2"/>
        <v>0.16798619415976626</v>
      </c>
      <c r="N18" s="1">
        <f t="shared" si="3"/>
        <v>0.70875588224153441</v>
      </c>
      <c r="O18" s="1">
        <f t="shared" si="4"/>
        <v>0.2978723404255319</v>
      </c>
      <c r="P18" s="1">
        <f t="shared" si="5"/>
        <v>0.32843339292795226</v>
      </c>
      <c r="Q18">
        <f t="shared" si="6"/>
        <v>0.43485275605593077</v>
      </c>
    </row>
    <row r="19" spans="1:17" x14ac:dyDescent="0.3">
      <c r="A19" s="2" t="s">
        <v>51</v>
      </c>
      <c r="B19" s="2" t="s">
        <v>31</v>
      </c>
      <c r="C19">
        <v>4873826</v>
      </c>
      <c r="D19">
        <v>141577</v>
      </c>
      <c r="E19">
        <v>231.147925700088</v>
      </c>
      <c r="F19">
        <v>157.25063796737999</v>
      </c>
      <c r="G19">
        <v>-1.64</v>
      </c>
      <c r="H19">
        <v>10.409817111122599</v>
      </c>
      <c r="I19">
        <v>141577</v>
      </c>
      <c r="J19">
        <v>5015403</v>
      </c>
      <c r="K19" s="1">
        <f t="shared" si="0"/>
        <v>2.8228439469370658E-2</v>
      </c>
      <c r="L19" s="1">
        <f t="shared" si="1"/>
        <v>0.97735708975387092</v>
      </c>
      <c r="M19" s="1">
        <f t="shared" si="2"/>
        <v>0.70791766955802138</v>
      </c>
      <c r="N19" s="1">
        <f t="shared" si="3"/>
        <v>0.9051738281868581</v>
      </c>
      <c r="O19" s="1">
        <f t="shared" si="4"/>
        <v>0.16160081053698075</v>
      </c>
      <c r="P19" s="1">
        <f t="shared" si="5"/>
        <v>0.72972466981923001</v>
      </c>
      <c r="Q19">
        <f t="shared" si="6"/>
        <v>0.78922171247635275</v>
      </c>
    </row>
    <row r="20" spans="1:17" x14ac:dyDescent="0.3">
      <c r="A20" s="2" t="s">
        <v>51</v>
      </c>
      <c r="B20" s="2" t="s">
        <v>32</v>
      </c>
      <c r="C20">
        <v>3834833</v>
      </c>
      <c r="D20">
        <v>51886</v>
      </c>
      <c r="E20">
        <v>85.522004549338405</v>
      </c>
      <c r="F20">
        <v>-26.239875735049299</v>
      </c>
      <c r="G20">
        <v>-3.46</v>
      </c>
      <c r="H20">
        <v>5.1342069282503804</v>
      </c>
      <c r="I20">
        <v>51886</v>
      </c>
      <c r="J20">
        <v>3886719</v>
      </c>
      <c r="K20" s="1">
        <f t="shared" si="0"/>
        <v>1.3349562960430121E-2</v>
      </c>
      <c r="L20" s="1">
        <f t="shared" si="1"/>
        <v>0.76636692594195355</v>
      </c>
      <c r="M20" s="1">
        <f t="shared" si="2"/>
        <v>0.25533740040468872</v>
      </c>
      <c r="N20" s="1">
        <f t="shared" si="3"/>
        <v>0.17166743834208367</v>
      </c>
      <c r="O20" s="1">
        <f t="shared" si="4"/>
        <v>6.9402228976697067E-2</v>
      </c>
      <c r="P20" s="1">
        <f t="shared" si="5"/>
        <v>0.20418181764723511</v>
      </c>
      <c r="Q20">
        <f t="shared" si="6"/>
        <v>0.39375466651166591</v>
      </c>
    </row>
    <row r="21" spans="1:17" x14ac:dyDescent="0.3">
      <c r="A21" s="2" t="s">
        <v>51</v>
      </c>
      <c r="B21" s="2" t="s">
        <v>33</v>
      </c>
      <c r="C21">
        <v>4464576</v>
      </c>
      <c r="D21">
        <v>92913</v>
      </c>
      <c r="E21">
        <v>219.067999944706</v>
      </c>
      <c r="F21">
        <v>121.546654831909</v>
      </c>
      <c r="G21">
        <v>4.71</v>
      </c>
      <c r="H21">
        <v>7.6847493542488001</v>
      </c>
      <c r="I21">
        <v>92913</v>
      </c>
      <c r="J21">
        <v>4557489</v>
      </c>
      <c r="K21" s="1">
        <f t="shared" si="0"/>
        <v>2.0386884093411963E-2</v>
      </c>
      <c r="L21" s="1">
        <f t="shared" si="1"/>
        <v>0.89424996146712865</v>
      </c>
      <c r="M21" s="1">
        <f t="shared" si="2"/>
        <v>0.46235940598555836</v>
      </c>
      <c r="N21" s="1">
        <f t="shared" si="3"/>
        <v>0.844328185732513</v>
      </c>
      <c r="O21" s="1">
        <f t="shared" si="4"/>
        <v>0.4832826747720364</v>
      </c>
      <c r="P21" s="1">
        <f t="shared" si="5"/>
        <v>0.62746339891044511</v>
      </c>
      <c r="Q21">
        <f t="shared" si="6"/>
        <v>0.70851758252463537</v>
      </c>
    </row>
    <row r="22" spans="1:17" x14ac:dyDescent="0.3">
      <c r="A22" s="2" t="s">
        <v>51</v>
      </c>
      <c r="B22" s="2" t="s">
        <v>34</v>
      </c>
      <c r="C22">
        <v>1428113</v>
      </c>
      <c r="D22">
        <v>28028</v>
      </c>
      <c r="E22">
        <v>158.43245949396299</v>
      </c>
      <c r="F22">
        <v>-48.807278375679502</v>
      </c>
      <c r="G22">
        <v>7.71</v>
      </c>
      <c r="H22">
        <v>7.2789365190150797</v>
      </c>
      <c r="I22">
        <v>28028</v>
      </c>
      <c r="J22">
        <v>1456141</v>
      </c>
      <c r="K22" s="1">
        <f t="shared" si="0"/>
        <v>1.9248135997818893E-2</v>
      </c>
      <c r="L22" s="1">
        <f t="shared" si="1"/>
        <v>0.27762999792663706</v>
      </c>
      <c r="M22" s="1">
        <f t="shared" si="2"/>
        <v>0.13495006988702019</v>
      </c>
      <c r="N22" s="1">
        <f t="shared" si="3"/>
        <v>0.5389117047869959</v>
      </c>
      <c r="O22" s="1">
        <f t="shared" si="4"/>
        <v>0.63525835866261382</v>
      </c>
      <c r="P22" s="1">
        <f t="shared" si="5"/>
        <v>0.13954557618406901</v>
      </c>
      <c r="Q22">
        <f t="shared" si="6"/>
        <v>0.31617075118814547</v>
      </c>
    </row>
    <row r="23" spans="1:17" x14ac:dyDescent="0.3">
      <c r="A23" s="2" t="s">
        <v>51</v>
      </c>
      <c r="B23" s="2" t="s">
        <v>35</v>
      </c>
      <c r="C23">
        <v>252909</v>
      </c>
      <c r="D23">
        <v>116253</v>
      </c>
      <c r="E23">
        <v>168.48971454266601</v>
      </c>
      <c r="F23">
        <v>-86.197714412515197</v>
      </c>
      <c r="G23">
        <v>3.54</v>
      </c>
      <c r="H23">
        <v>64.772029234414305</v>
      </c>
      <c r="I23">
        <v>116253</v>
      </c>
      <c r="J23">
        <v>369162</v>
      </c>
      <c r="K23" s="1">
        <f t="shared" si="0"/>
        <v>0.31491052708566969</v>
      </c>
      <c r="L23" s="1">
        <f t="shared" si="1"/>
        <v>3.8979223116392424E-2</v>
      </c>
      <c r="M23" s="1">
        <f t="shared" si="2"/>
        <v>0.58013291148821511</v>
      </c>
      <c r="N23" s="1">
        <f t="shared" si="3"/>
        <v>0.58956931288470305</v>
      </c>
      <c r="O23" s="1">
        <f t="shared" si="4"/>
        <v>0.42401215805471126</v>
      </c>
      <c r="P23" s="1">
        <f t="shared" si="5"/>
        <v>3.2454065008616806E-2</v>
      </c>
      <c r="Q23">
        <f t="shared" si="6"/>
        <v>0.32223644084606456</v>
      </c>
    </row>
    <row r="24" spans="1:17" x14ac:dyDescent="0.3">
      <c r="A24" s="2" t="s">
        <v>51</v>
      </c>
      <c r="B24" s="2" t="s">
        <v>36</v>
      </c>
      <c r="C24">
        <v>3807603</v>
      </c>
      <c r="D24">
        <v>178313</v>
      </c>
      <c r="E24">
        <v>204.97170537462401</v>
      </c>
      <c r="F24">
        <v>81.293686896704699</v>
      </c>
      <c r="G24">
        <v>7.81</v>
      </c>
      <c r="H24">
        <v>15.776927152054199</v>
      </c>
      <c r="I24">
        <v>178313</v>
      </c>
      <c r="J24">
        <v>3985916</v>
      </c>
      <c r="K24" s="1">
        <f t="shared" si="0"/>
        <v>4.473576462725256E-2</v>
      </c>
      <c r="L24" s="1">
        <f t="shared" si="1"/>
        <v>0.76083728121807326</v>
      </c>
      <c r="M24" s="1">
        <f t="shared" si="2"/>
        <v>0.89328731386588756</v>
      </c>
      <c r="N24" s="1">
        <f t="shared" si="3"/>
        <v>0.77332625105918085</v>
      </c>
      <c r="O24" s="1">
        <f t="shared" si="4"/>
        <v>0.64032421479229984</v>
      </c>
      <c r="P24" s="1">
        <f t="shared" si="5"/>
        <v>0.51217319044025622</v>
      </c>
      <c r="Q24">
        <f t="shared" si="6"/>
        <v>0.75952986762788921</v>
      </c>
    </row>
    <row r="25" spans="1:17" x14ac:dyDescent="0.3">
      <c r="A25" s="2" t="s">
        <v>51</v>
      </c>
      <c r="B25" s="2" t="s">
        <v>37</v>
      </c>
      <c r="C25">
        <v>2031850</v>
      </c>
      <c r="D25">
        <v>9106</v>
      </c>
      <c r="E25">
        <v>117.885931886821</v>
      </c>
      <c r="F25">
        <v>-46.610451569954499</v>
      </c>
      <c r="G25">
        <v>12.85</v>
      </c>
      <c r="H25">
        <v>1.7610819456222899</v>
      </c>
      <c r="I25">
        <v>9106</v>
      </c>
      <c r="J25">
        <v>2040956</v>
      </c>
      <c r="K25" s="1">
        <f t="shared" si="0"/>
        <v>4.4616346457248468E-3</v>
      </c>
      <c r="L25" s="1">
        <f t="shared" si="1"/>
        <v>0.4002319485935959</v>
      </c>
      <c r="M25" s="1">
        <f t="shared" si="2"/>
        <v>3.9469766925526173E-2</v>
      </c>
      <c r="N25" s="1">
        <f t="shared" si="3"/>
        <v>0.33468201236109418</v>
      </c>
      <c r="O25" s="1">
        <f t="shared" si="4"/>
        <v>0.89564336372846998</v>
      </c>
      <c r="P25" s="1">
        <f t="shared" si="5"/>
        <v>0.1458375996893328</v>
      </c>
      <c r="Q25">
        <f t="shared" si="6"/>
        <v>0.32103312255313921</v>
      </c>
    </row>
    <row r="26" spans="1:17" x14ac:dyDescent="0.3">
      <c r="A26" s="2" t="s">
        <v>51</v>
      </c>
      <c r="B26" s="2" t="s">
        <v>38</v>
      </c>
      <c r="C26">
        <v>4952209</v>
      </c>
      <c r="D26">
        <v>141398</v>
      </c>
      <c r="E26">
        <v>133.049133943784</v>
      </c>
      <c r="F26">
        <v>73.617130291838293</v>
      </c>
      <c r="G26">
        <v>12.38</v>
      </c>
      <c r="H26">
        <v>10.2503152977064</v>
      </c>
      <c r="I26">
        <v>141398</v>
      </c>
      <c r="J26">
        <v>5093607</v>
      </c>
      <c r="K26" s="1">
        <f t="shared" si="0"/>
        <v>2.775989588517528E-2</v>
      </c>
      <c r="L26" s="1">
        <f t="shared" si="1"/>
        <v>0.99327446553029053</v>
      </c>
      <c r="M26" s="1">
        <f t="shared" si="2"/>
        <v>0.70701443658951346</v>
      </c>
      <c r="N26" s="1">
        <f t="shared" si="3"/>
        <v>0.411057876708597</v>
      </c>
      <c r="O26" s="1">
        <f t="shared" si="4"/>
        <v>0.87183383991894625</v>
      </c>
      <c r="P26" s="1">
        <f t="shared" si="5"/>
        <v>0.4901864437056328</v>
      </c>
      <c r="Q26">
        <f t="shared" si="6"/>
        <v>0.74281327578715728</v>
      </c>
    </row>
    <row r="27" spans="1:17" x14ac:dyDescent="0.3">
      <c r="A27" s="2" t="s">
        <v>51</v>
      </c>
      <c r="B27" s="2" t="s">
        <v>39</v>
      </c>
      <c r="C27">
        <v>803036</v>
      </c>
      <c r="D27">
        <v>157791</v>
      </c>
      <c r="E27">
        <v>223.245183576231</v>
      </c>
      <c r="F27">
        <v>-45.048141585363197</v>
      </c>
      <c r="G27">
        <v>4.32</v>
      </c>
      <c r="H27">
        <v>44.008088132756903</v>
      </c>
      <c r="I27">
        <v>157791</v>
      </c>
      <c r="J27">
        <v>960827</v>
      </c>
      <c r="K27" s="1">
        <f t="shared" si="0"/>
        <v>0.16422415273509175</v>
      </c>
      <c r="L27" s="1">
        <f t="shared" si="1"/>
        <v>0.15069449535341295</v>
      </c>
      <c r="M27" s="1">
        <f t="shared" si="2"/>
        <v>0.78973342012443426</v>
      </c>
      <c r="N27" s="1">
        <f t="shared" si="3"/>
        <v>0.8653683334003639</v>
      </c>
      <c r="O27" s="1">
        <f t="shared" si="4"/>
        <v>0.46352583586626139</v>
      </c>
      <c r="P27" s="1">
        <f t="shared" si="5"/>
        <v>0.15031227703756034</v>
      </c>
      <c r="Q27">
        <f t="shared" si="6"/>
        <v>0.48463390637525805</v>
      </c>
    </row>
    <row r="28" spans="1:17" x14ac:dyDescent="0.3">
      <c r="A28" s="2" t="s">
        <v>51</v>
      </c>
      <c r="B28" s="2" t="s">
        <v>40</v>
      </c>
      <c r="C28">
        <v>708912</v>
      </c>
      <c r="D28">
        <v>39871</v>
      </c>
      <c r="E28">
        <v>196.852759744812</v>
      </c>
      <c r="F28">
        <v>-62.238210115070103</v>
      </c>
      <c r="G28">
        <v>4.33</v>
      </c>
      <c r="H28">
        <v>18.365354055062401</v>
      </c>
      <c r="I28">
        <v>39871</v>
      </c>
      <c r="J28">
        <v>748783</v>
      </c>
      <c r="K28" s="1">
        <f t="shared" si="0"/>
        <v>5.3247736660688078E-2</v>
      </c>
      <c r="L28" s="1">
        <f t="shared" si="1"/>
        <v>0.13158056659871209</v>
      </c>
      <c r="M28" s="1">
        <f t="shared" si="2"/>
        <v>0.19470977964143166</v>
      </c>
      <c r="N28" s="1">
        <f t="shared" si="3"/>
        <v>0.73243175610107114</v>
      </c>
      <c r="O28" s="1">
        <f t="shared" si="4"/>
        <v>0.46403242147922996</v>
      </c>
      <c r="P28" s="1">
        <f t="shared" si="5"/>
        <v>0.10107748303188738</v>
      </c>
      <c r="Q28">
        <f t="shared" si="6"/>
        <v>0.29772798489123309</v>
      </c>
    </row>
    <row r="29" spans="1:17" x14ac:dyDescent="0.3">
      <c r="A29" s="2" t="s">
        <v>51</v>
      </c>
      <c r="B29" s="2" t="s">
        <v>41</v>
      </c>
      <c r="C29">
        <v>250071</v>
      </c>
      <c r="D29">
        <v>173937</v>
      </c>
      <c r="E29">
        <v>240.325654232939</v>
      </c>
      <c r="F29">
        <v>-73.894664930296102</v>
      </c>
      <c r="G29">
        <v>11.42</v>
      </c>
      <c r="H29">
        <v>73.560374659422095</v>
      </c>
      <c r="I29">
        <v>173937</v>
      </c>
      <c r="J29">
        <v>424008</v>
      </c>
      <c r="K29" s="1">
        <f t="shared" si="0"/>
        <v>0.4102210335654044</v>
      </c>
      <c r="L29" s="1">
        <f t="shared" si="1"/>
        <v>3.840290538865198E-2</v>
      </c>
      <c r="M29" s="1">
        <f t="shared" si="2"/>
        <v>0.87120604308269878</v>
      </c>
      <c r="N29" s="1">
        <f t="shared" si="3"/>
        <v>0.95140132992494586</v>
      </c>
      <c r="O29" s="1">
        <f t="shared" si="4"/>
        <v>0.82320162107396144</v>
      </c>
      <c r="P29" s="1">
        <f t="shared" si="5"/>
        <v>6.7691743430425083E-2</v>
      </c>
      <c r="Q29">
        <f t="shared" si="6"/>
        <v>0.51061213009213069</v>
      </c>
    </row>
    <row r="30" spans="1:17" x14ac:dyDescent="0.3">
      <c r="A30" s="2" t="s">
        <v>51</v>
      </c>
      <c r="B30" s="2" t="s">
        <v>42</v>
      </c>
      <c r="C30">
        <v>4875217</v>
      </c>
      <c r="D30">
        <v>87358</v>
      </c>
      <c r="E30">
        <v>205.29664539074901</v>
      </c>
      <c r="F30">
        <v>161.00211353301501</v>
      </c>
      <c r="G30">
        <v>-0.72</v>
      </c>
      <c r="H30">
        <v>6.6881430695152897</v>
      </c>
      <c r="I30">
        <v>87358</v>
      </c>
      <c r="J30">
        <v>4962575</v>
      </c>
      <c r="K30" s="1">
        <f t="shared" si="0"/>
        <v>1.7603361158269649E-2</v>
      </c>
      <c r="L30" s="1">
        <f t="shared" si="1"/>
        <v>0.97763956260774232</v>
      </c>
      <c r="M30" s="1">
        <f t="shared" si="2"/>
        <v>0.43432890799638707</v>
      </c>
      <c r="N30" s="1">
        <f t="shared" si="3"/>
        <v>0.77496294853900127</v>
      </c>
      <c r="O30" s="1">
        <f t="shared" si="4"/>
        <v>0.20820668693009117</v>
      </c>
      <c r="P30" s="1">
        <f t="shared" si="5"/>
        <v>0.74046942783879011</v>
      </c>
      <c r="Q30">
        <f t="shared" si="6"/>
        <v>0.70061627509649493</v>
      </c>
    </row>
    <row r="31" spans="1:17" x14ac:dyDescent="0.3">
      <c r="A31" s="2" t="s">
        <v>51</v>
      </c>
      <c r="B31" s="2" t="s">
        <v>43</v>
      </c>
      <c r="C31">
        <v>2944227</v>
      </c>
      <c r="D31">
        <v>8361</v>
      </c>
      <c r="E31">
        <v>164.83844003972101</v>
      </c>
      <c r="F31">
        <v>24.685638649900699</v>
      </c>
      <c r="G31">
        <v>8.36</v>
      </c>
      <c r="H31">
        <v>1.1231596774794701</v>
      </c>
      <c r="I31">
        <v>8361</v>
      </c>
      <c r="J31">
        <v>2952588</v>
      </c>
      <c r="K31" s="1">
        <f t="shared" si="0"/>
        <v>2.8317530248040024E-3</v>
      </c>
      <c r="L31" s="1">
        <f t="shared" si="1"/>
        <v>0.5855099751907199</v>
      </c>
      <c r="M31" s="1">
        <f t="shared" si="2"/>
        <v>3.571050121860761E-2</v>
      </c>
      <c r="N31" s="1">
        <f t="shared" si="3"/>
        <v>0.57117812841820281</v>
      </c>
      <c r="O31" s="1">
        <f t="shared" si="4"/>
        <v>0.66818642350557234</v>
      </c>
      <c r="P31" s="1">
        <f t="shared" si="5"/>
        <v>0.3500397126313628</v>
      </c>
      <c r="Q31">
        <f t="shared" si="6"/>
        <v>0.42991435591873794</v>
      </c>
    </row>
    <row r="32" spans="1:17" x14ac:dyDescent="0.3">
      <c r="A32" s="2" t="s">
        <v>51</v>
      </c>
      <c r="B32" s="2" t="s">
        <v>44</v>
      </c>
      <c r="C32">
        <v>4522313</v>
      </c>
      <c r="D32">
        <v>145775</v>
      </c>
      <c r="E32">
        <v>86.030940290757101</v>
      </c>
      <c r="F32">
        <v>2.8842253581264199</v>
      </c>
      <c r="G32">
        <v>-3.85</v>
      </c>
      <c r="H32">
        <v>11.421211173317401</v>
      </c>
      <c r="I32">
        <v>145775</v>
      </c>
      <c r="J32">
        <v>4668088</v>
      </c>
      <c r="K32" s="1">
        <f t="shared" si="0"/>
        <v>3.1227988846825511E-2</v>
      </c>
      <c r="L32" s="1">
        <f t="shared" si="1"/>
        <v>0.9059747171565401</v>
      </c>
      <c r="M32" s="1">
        <f t="shared" si="2"/>
        <v>0.72910075336693969</v>
      </c>
      <c r="N32" s="1">
        <f t="shared" si="3"/>
        <v>0.17423090791811169</v>
      </c>
      <c r="O32" s="1">
        <f t="shared" si="4"/>
        <v>4.9645390070921981E-2</v>
      </c>
      <c r="P32" s="1">
        <f t="shared" si="5"/>
        <v>0.28759737328884777</v>
      </c>
      <c r="Q32">
        <f t="shared" si="6"/>
        <v>0.56793679726612323</v>
      </c>
    </row>
    <row r="33" spans="1:17" x14ac:dyDescent="0.3">
      <c r="A33" s="2" t="s">
        <v>51</v>
      </c>
      <c r="B33" s="2" t="s">
        <v>45</v>
      </c>
      <c r="C33">
        <v>160401</v>
      </c>
      <c r="D33">
        <v>22967</v>
      </c>
      <c r="E33">
        <v>224.684786876663</v>
      </c>
      <c r="F33">
        <v>-89.445144211267902</v>
      </c>
      <c r="G33">
        <v>-0.99</v>
      </c>
      <c r="H33">
        <v>36.416682192421497</v>
      </c>
      <c r="I33">
        <v>22967</v>
      </c>
      <c r="J33">
        <v>183368</v>
      </c>
      <c r="K33" s="1">
        <f t="shared" si="0"/>
        <v>0.12525086165525065</v>
      </c>
      <c r="L33" s="1">
        <f t="shared" si="1"/>
        <v>2.0193458367339396E-2</v>
      </c>
      <c r="M33" s="1">
        <f t="shared" si="2"/>
        <v>0.10941229305116133</v>
      </c>
      <c r="N33" s="1">
        <f t="shared" si="3"/>
        <v>0.87261950277573486</v>
      </c>
      <c r="O33" s="1">
        <f t="shared" si="4"/>
        <v>0.19452887537993918</v>
      </c>
      <c r="P33" s="1">
        <f t="shared" si="5"/>
        <v>2.3152965544518303E-2</v>
      </c>
      <c r="Q33">
        <f t="shared" si="6"/>
        <v>0.23071286833895188</v>
      </c>
    </row>
    <row r="34" spans="1:17" x14ac:dyDescent="0.3">
      <c r="A34" s="2" t="s">
        <v>51</v>
      </c>
      <c r="B34" s="2" t="s">
        <v>46</v>
      </c>
      <c r="C34">
        <v>2311493</v>
      </c>
      <c r="D34">
        <v>16153</v>
      </c>
      <c r="E34">
        <v>226.108265603962</v>
      </c>
      <c r="F34">
        <v>34.830597126449</v>
      </c>
      <c r="G34">
        <v>0.63</v>
      </c>
      <c r="H34">
        <v>2.7192401009214602</v>
      </c>
      <c r="I34">
        <v>16153</v>
      </c>
      <c r="J34">
        <v>2327646</v>
      </c>
      <c r="K34" s="1">
        <f t="shared" si="0"/>
        <v>6.9396291360456011E-3</v>
      </c>
      <c r="L34" s="1">
        <f t="shared" si="1"/>
        <v>0.45701955195459637</v>
      </c>
      <c r="M34" s="1">
        <f t="shared" si="2"/>
        <v>7.5028888317009546E-2</v>
      </c>
      <c r="N34" s="1">
        <f t="shared" si="3"/>
        <v>0.87978945393574193</v>
      </c>
      <c r="O34" s="1">
        <f t="shared" si="4"/>
        <v>0.27659574468085102</v>
      </c>
      <c r="P34" s="1">
        <f t="shared" si="5"/>
        <v>0.37909631237241559</v>
      </c>
      <c r="Q34">
        <f t="shared" si="6"/>
        <v>0.42024116175583615</v>
      </c>
    </row>
    <row r="35" spans="1:17" x14ac:dyDescent="0.3">
      <c r="A35" s="2" t="s">
        <v>51</v>
      </c>
      <c r="B35" s="2" t="s">
        <v>47</v>
      </c>
      <c r="C35">
        <v>2811016</v>
      </c>
      <c r="D35">
        <v>48105</v>
      </c>
      <c r="E35">
        <v>160.57382671107601</v>
      </c>
      <c r="F35">
        <v>17.614910014730601</v>
      </c>
      <c r="G35">
        <v>4.87</v>
      </c>
      <c r="H35">
        <v>6.4066622361854897</v>
      </c>
      <c r="I35">
        <v>48105</v>
      </c>
      <c r="J35">
        <v>2859121</v>
      </c>
      <c r="K35" s="1">
        <f t="shared" si="0"/>
        <v>1.6825101141224874E-2</v>
      </c>
      <c r="L35" s="1">
        <f t="shared" si="1"/>
        <v>0.55845857954941214</v>
      </c>
      <c r="M35" s="1">
        <f t="shared" si="2"/>
        <v>0.23625849619279735</v>
      </c>
      <c r="N35" s="1">
        <f t="shared" si="3"/>
        <v>0.54969760419518265</v>
      </c>
      <c r="O35" s="1">
        <f t="shared" si="4"/>
        <v>0.49138804457953383</v>
      </c>
      <c r="P35" s="1">
        <f t="shared" si="5"/>
        <v>0.32978814311487126</v>
      </c>
      <c r="Q35">
        <f t="shared" si="6"/>
        <v>0.44658226649897059</v>
      </c>
    </row>
    <row r="36" spans="1:17" x14ac:dyDescent="0.3">
      <c r="A36" s="2" t="s">
        <v>51</v>
      </c>
      <c r="B36" s="2" t="s">
        <v>48</v>
      </c>
      <c r="C36">
        <v>1463352</v>
      </c>
      <c r="D36">
        <v>41394</v>
      </c>
      <c r="E36">
        <v>211.53071681200601</v>
      </c>
      <c r="F36">
        <v>-18.456053457441101</v>
      </c>
      <c r="G36">
        <v>0.95</v>
      </c>
      <c r="H36">
        <v>10.1647218293257</v>
      </c>
      <c r="I36">
        <v>41394</v>
      </c>
      <c r="J36">
        <v>1504746</v>
      </c>
      <c r="K36" s="1">
        <f t="shared" si="0"/>
        <v>2.7508961645354098E-2</v>
      </c>
      <c r="L36" s="1">
        <f t="shared" si="1"/>
        <v>0.28478604458197371</v>
      </c>
      <c r="M36" s="1">
        <f t="shared" si="2"/>
        <v>0.20239482886510543</v>
      </c>
      <c r="N36" s="1">
        <f t="shared" si="3"/>
        <v>0.80636347933809627</v>
      </c>
      <c r="O36" s="1">
        <f t="shared" si="4"/>
        <v>0.29280648429584599</v>
      </c>
      <c r="P36" s="1">
        <f t="shared" si="5"/>
        <v>0.22647578848001698</v>
      </c>
      <c r="Q36">
        <f t="shared" si="6"/>
        <v>0.36347474596517271</v>
      </c>
    </row>
    <row r="37" spans="1:17" x14ac:dyDescent="0.3">
      <c r="A37" s="2" t="s">
        <v>51</v>
      </c>
      <c r="B37" s="2" t="s">
        <v>49</v>
      </c>
      <c r="C37">
        <v>1367940</v>
      </c>
      <c r="D37">
        <v>82953</v>
      </c>
      <c r="E37">
        <v>200.290441817556</v>
      </c>
      <c r="F37">
        <v>-25.5524006746226</v>
      </c>
      <c r="G37">
        <v>-4.41</v>
      </c>
      <c r="H37">
        <v>19.521200739872601</v>
      </c>
      <c r="I37">
        <v>82953</v>
      </c>
      <c r="J37">
        <v>1450893</v>
      </c>
      <c r="K37" s="1">
        <f t="shared" si="0"/>
        <v>5.7173754370584182E-2</v>
      </c>
      <c r="L37" s="1">
        <f t="shared" si="1"/>
        <v>0.26541055936732577</v>
      </c>
      <c r="M37" s="1">
        <f t="shared" si="2"/>
        <v>0.41210130338031153</v>
      </c>
      <c r="N37" s="1">
        <f t="shared" si="3"/>
        <v>0.749747092180575</v>
      </c>
      <c r="O37" s="1">
        <f t="shared" si="4"/>
        <v>2.1276595744680844E-2</v>
      </c>
      <c r="P37" s="1">
        <f t="shared" si="5"/>
        <v>0.20615084371165435</v>
      </c>
      <c r="Q37">
        <f t="shared" si="6"/>
        <v>0.36861118400539045</v>
      </c>
    </row>
    <row r="38" spans="1:17" x14ac:dyDescent="0.3">
      <c r="A38" s="2" t="s">
        <v>52</v>
      </c>
      <c r="B38" s="2" t="s">
        <v>14</v>
      </c>
      <c r="C38">
        <v>3593091</v>
      </c>
      <c r="D38">
        <v>197765</v>
      </c>
      <c r="E38">
        <v>179.510907299037</v>
      </c>
      <c r="F38">
        <v>44.433832112915198</v>
      </c>
      <c r="G38">
        <v>10.17</v>
      </c>
      <c r="H38">
        <v>18.043630340286999</v>
      </c>
      <c r="I38">
        <v>197765</v>
      </c>
      <c r="J38">
        <v>3790856</v>
      </c>
      <c r="K38" s="1">
        <f t="shared" si="0"/>
        <v>5.2168956035259582E-2</v>
      </c>
      <c r="L38" s="1">
        <f t="shared" si="1"/>
        <v>0.71727594632975167</v>
      </c>
      <c r="M38" s="1">
        <f t="shared" si="2"/>
        <v>0.99144199377324316</v>
      </c>
      <c r="N38" s="1">
        <f t="shared" si="3"/>
        <v>0.64508219992176097</v>
      </c>
      <c r="O38" s="1">
        <f t="shared" si="4"/>
        <v>0.75987841945288748</v>
      </c>
      <c r="P38" s="1">
        <f t="shared" si="5"/>
        <v>0.40660133921565622</v>
      </c>
      <c r="Q38">
        <f t="shared" si="6"/>
        <v>0.7445714955099304</v>
      </c>
    </row>
    <row r="39" spans="1:17" x14ac:dyDescent="0.3">
      <c r="A39" s="2" t="s">
        <v>52</v>
      </c>
      <c r="B39" s="2" t="s">
        <v>15</v>
      </c>
      <c r="C39">
        <v>1124962</v>
      </c>
      <c r="D39">
        <v>187390</v>
      </c>
      <c r="E39">
        <v>114.222403745336</v>
      </c>
      <c r="F39">
        <v>-68.1842300753475</v>
      </c>
      <c r="G39">
        <v>11.09</v>
      </c>
      <c r="H39">
        <v>39.986727283008598</v>
      </c>
      <c r="I39">
        <v>187390</v>
      </c>
      <c r="J39">
        <v>1312352</v>
      </c>
      <c r="K39" s="1">
        <f t="shared" si="0"/>
        <v>0.14278943454195217</v>
      </c>
      <c r="L39" s="1">
        <f t="shared" si="1"/>
        <v>0.21606858302803184</v>
      </c>
      <c r="M39" s="1">
        <f t="shared" si="2"/>
        <v>0.93908980355944438</v>
      </c>
      <c r="N39" s="1">
        <f t="shared" si="3"/>
        <v>0.31622910727441234</v>
      </c>
      <c r="O39" s="1">
        <f t="shared" si="4"/>
        <v>0.8064842958459979</v>
      </c>
      <c r="P39" s="1">
        <f t="shared" si="5"/>
        <v>8.4047238656074594E-2</v>
      </c>
      <c r="Q39">
        <f t="shared" si="6"/>
        <v>0.46269542985476197</v>
      </c>
    </row>
    <row r="40" spans="1:17" x14ac:dyDescent="0.3">
      <c r="A40" s="2" t="s">
        <v>52</v>
      </c>
      <c r="B40" s="2" t="s">
        <v>16</v>
      </c>
      <c r="C40">
        <v>3700563</v>
      </c>
      <c r="D40">
        <v>70542</v>
      </c>
      <c r="E40">
        <v>74.964764969418695</v>
      </c>
      <c r="F40">
        <v>-39.997877533694101</v>
      </c>
      <c r="G40">
        <v>0.4</v>
      </c>
      <c r="H40">
        <v>7.0847867957941402</v>
      </c>
      <c r="I40">
        <v>70542</v>
      </c>
      <c r="J40">
        <v>3771105</v>
      </c>
      <c r="K40" s="1">
        <f t="shared" si="0"/>
        <v>1.8705923064990235E-2</v>
      </c>
      <c r="L40" s="1">
        <f t="shared" si="1"/>
        <v>0.73910047727961792</v>
      </c>
      <c r="M40" s="1">
        <f t="shared" si="2"/>
        <v>0.34947546889901454</v>
      </c>
      <c r="N40" s="1">
        <f t="shared" si="3"/>
        <v>0.11849144721494766</v>
      </c>
      <c r="O40" s="1">
        <f t="shared" si="4"/>
        <v>0.26494427558257344</v>
      </c>
      <c r="P40" s="1">
        <f t="shared" si="5"/>
        <v>0.16477694946329749</v>
      </c>
      <c r="Q40">
        <f t="shared" si="6"/>
        <v>0.41272444622019649</v>
      </c>
    </row>
    <row r="41" spans="1:17" x14ac:dyDescent="0.3">
      <c r="A41" s="2" t="s">
        <v>52</v>
      </c>
      <c r="B41" s="2" t="s">
        <v>17</v>
      </c>
      <c r="C41">
        <v>1225330</v>
      </c>
      <c r="D41">
        <v>83237</v>
      </c>
      <c r="E41">
        <v>243.54885917190299</v>
      </c>
      <c r="F41">
        <v>-32.356998832643498</v>
      </c>
      <c r="G41">
        <v>11.06</v>
      </c>
      <c r="H41">
        <v>21.366405737615398</v>
      </c>
      <c r="I41">
        <v>83237</v>
      </c>
      <c r="J41">
        <v>1308567</v>
      </c>
      <c r="K41" s="1">
        <f t="shared" si="0"/>
        <v>6.3609276406939808E-2</v>
      </c>
      <c r="L41" s="1">
        <f t="shared" si="1"/>
        <v>0.23645049201247592</v>
      </c>
      <c r="M41" s="1">
        <f t="shared" si="2"/>
        <v>0.4135343657437543</v>
      </c>
      <c r="N41" s="1">
        <f t="shared" si="3"/>
        <v>0.96763636143463094</v>
      </c>
      <c r="O41" s="1">
        <f t="shared" si="4"/>
        <v>0.80496453900709219</v>
      </c>
      <c r="P41" s="1">
        <f t="shared" si="5"/>
        <v>0.18666150962188194</v>
      </c>
      <c r="Q41">
        <f t="shared" si="6"/>
        <v>0.47883114079012884</v>
      </c>
    </row>
    <row r="42" spans="1:17" x14ac:dyDescent="0.3">
      <c r="A42" s="2" t="s">
        <v>52</v>
      </c>
      <c r="B42" s="2" t="s">
        <v>18</v>
      </c>
      <c r="C42">
        <v>2137579</v>
      </c>
      <c r="D42">
        <v>136025</v>
      </c>
      <c r="E42">
        <v>172.36950673908001</v>
      </c>
      <c r="F42">
        <v>-16.8205454738406</v>
      </c>
      <c r="G42">
        <v>4.09</v>
      </c>
      <c r="H42">
        <v>20.2895275683629</v>
      </c>
      <c r="I42">
        <v>136025</v>
      </c>
      <c r="J42">
        <v>2273604</v>
      </c>
      <c r="K42" s="1">
        <f t="shared" si="0"/>
        <v>5.9827920781279416E-2</v>
      </c>
      <c r="L42" s="1">
        <f t="shared" si="1"/>
        <v>0.42170252542103381</v>
      </c>
      <c r="M42" s="1">
        <f t="shared" si="2"/>
        <v>0.6799023095515625</v>
      </c>
      <c r="N42" s="1">
        <f t="shared" si="3"/>
        <v>0.60911152312345296</v>
      </c>
      <c r="O42" s="1">
        <f t="shared" si="4"/>
        <v>0.45187436676798376</v>
      </c>
      <c r="P42" s="1">
        <f t="shared" si="5"/>
        <v>0.23116011527767039</v>
      </c>
      <c r="Q42">
        <f t="shared" si="6"/>
        <v>0.50769721411450841</v>
      </c>
    </row>
    <row r="43" spans="1:17" x14ac:dyDescent="0.3">
      <c r="A43" s="2" t="s">
        <v>52</v>
      </c>
      <c r="B43" s="2" t="s">
        <v>19</v>
      </c>
      <c r="C43">
        <v>4126986</v>
      </c>
      <c r="D43">
        <v>149111</v>
      </c>
      <c r="E43">
        <v>234.55969310331301</v>
      </c>
      <c r="F43">
        <v>112.883370476493</v>
      </c>
      <c r="G43">
        <v>14.26</v>
      </c>
      <c r="H43">
        <v>12.627349193276901</v>
      </c>
      <c r="I43">
        <v>149111</v>
      </c>
      <c r="J43">
        <v>4276097</v>
      </c>
      <c r="K43" s="1">
        <f t="shared" si="0"/>
        <v>3.487081794449471E-2</v>
      </c>
      <c r="L43" s="1">
        <f t="shared" si="1"/>
        <v>0.82569495734172538</v>
      </c>
      <c r="M43" s="1">
        <f t="shared" si="2"/>
        <v>0.74593419014315487</v>
      </c>
      <c r="N43" s="1">
        <f t="shared" si="3"/>
        <v>0.92235863410021646</v>
      </c>
      <c r="O43" s="1">
        <f t="shared" si="4"/>
        <v>0.96707193515704148</v>
      </c>
      <c r="P43" s="1">
        <f t="shared" si="5"/>
        <v>0.60265052396964058</v>
      </c>
      <c r="Q43">
        <f t="shared" si="6"/>
        <v>0.81692075533810393</v>
      </c>
    </row>
    <row r="44" spans="1:17" x14ac:dyDescent="0.3">
      <c r="A44" s="2" t="s">
        <v>52</v>
      </c>
      <c r="B44" s="2" t="s">
        <v>20</v>
      </c>
      <c r="C44">
        <v>1671675</v>
      </c>
      <c r="D44">
        <v>71593</v>
      </c>
      <c r="E44">
        <v>122.41376541071099</v>
      </c>
      <c r="F44">
        <v>-54.706569033216603</v>
      </c>
      <c r="G44">
        <v>6.33</v>
      </c>
      <c r="H44">
        <v>14.6253894824792</v>
      </c>
      <c r="I44">
        <v>71593</v>
      </c>
      <c r="J44">
        <v>1743268</v>
      </c>
      <c r="K44" s="1">
        <f t="shared" si="0"/>
        <v>4.1068269480079939E-2</v>
      </c>
      <c r="L44" s="1">
        <f t="shared" si="1"/>
        <v>0.32709056818876414</v>
      </c>
      <c r="M44" s="1">
        <f t="shared" si="2"/>
        <v>0.35477880884260032</v>
      </c>
      <c r="N44" s="1">
        <f t="shared" si="3"/>
        <v>0.35748835614716129</v>
      </c>
      <c r="O44" s="1">
        <f t="shared" si="4"/>
        <v>0.56534954407294824</v>
      </c>
      <c r="P44" s="1">
        <f t="shared" si="5"/>
        <v>0.12264917115802212</v>
      </c>
      <c r="Q44">
        <f t="shared" si="6"/>
        <v>0.34347394382924684</v>
      </c>
    </row>
    <row r="45" spans="1:17" x14ac:dyDescent="0.3">
      <c r="A45" s="2" t="s">
        <v>52</v>
      </c>
      <c r="B45" s="2" t="s">
        <v>21</v>
      </c>
      <c r="C45">
        <v>2024102</v>
      </c>
      <c r="D45">
        <v>183562</v>
      </c>
      <c r="E45">
        <v>167.416780814471</v>
      </c>
      <c r="F45">
        <v>-21.553645335880201</v>
      </c>
      <c r="G45">
        <v>-4.83</v>
      </c>
      <c r="H45">
        <v>26.619101999383599</v>
      </c>
      <c r="I45">
        <v>183562</v>
      </c>
      <c r="J45">
        <v>2207664</v>
      </c>
      <c r="K45" s="1">
        <f t="shared" si="0"/>
        <v>8.3147616666304297E-2</v>
      </c>
      <c r="L45" s="1">
        <f t="shared" si="1"/>
        <v>0.3986585483982002</v>
      </c>
      <c r="M45" s="1">
        <f t="shared" si="2"/>
        <v>0.91977373761839165</v>
      </c>
      <c r="N45" s="1">
        <f t="shared" si="3"/>
        <v>0.58416502950374971</v>
      </c>
      <c r="O45" s="1">
        <f t="shared" si="4"/>
        <v>0</v>
      </c>
      <c r="P45" s="1">
        <f t="shared" si="5"/>
        <v>0.21760384606832522</v>
      </c>
      <c r="Q45">
        <f t="shared" si="6"/>
        <v>0.50806731685155049</v>
      </c>
    </row>
    <row r="46" spans="1:17" x14ac:dyDescent="0.3">
      <c r="A46" s="2" t="s">
        <v>52</v>
      </c>
      <c r="B46" s="2" t="s">
        <v>22</v>
      </c>
      <c r="C46">
        <v>3157371</v>
      </c>
      <c r="D46">
        <v>194452</v>
      </c>
      <c r="E46">
        <v>78.226087714058806</v>
      </c>
      <c r="F46">
        <v>-44.348933460681302</v>
      </c>
      <c r="G46">
        <v>12.66</v>
      </c>
      <c r="H46">
        <v>19.765504949076</v>
      </c>
      <c r="I46">
        <v>194452</v>
      </c>
      <c r="J46">
        <v>3351823</v>
      </c>
      <c r="K46" s="1">
        <f t="shared" si="0"/>
        <v>5.8013803234836687E-2</v>
      </c>
      <c r="L46" s="1">
        <f t="shared" si="1"/>
        <v>0.62879350787624078</v>
      </c>
      <c r="M46" s="1">
        <f t="shared" si="2"/>
        <v>0.9747246148644898</v>
      </c>
      <c r="N46" s="1">
        <f t="shared" si="3"/>
        <v>0.134918475134402</v>
      </c>
      <c r="O46" s="1">
        <f t="shared" si="4"/>
        <v>0.88601823708206684</v>
      </c>
      <c r="P46" s="1">
        <f t="shared" si="5"/>
        <v>0.15231490826188118</v>
      </c>
      <c r="Q46">
        <f t="shared" si="6"/>
        <v>0.59457589103408193</v>
      </c>
    </row>
    <row r="47" spans="1:17" x14ac:dyDescent="0.3">
      <c r="A47" s="2" t="s">
        <v>52</v>
      </c>
      <c r="B47" s="2" t="s">
        <v>23</v>
      </c>
      <c r="C47">
        <v>4678222</v>
      </c>
      <c r="D47">
        <v>71157</v>
      </c>
      <c r="E47">
        <v>249.88530079406101</v>
      </c>
      <c r="F47">
        <v>151.894301177968</v>
      </c>
      <c r="G47">
        <v>3.55</v>
      </c>
      <c r="H47">
        <v>5.7351723304149802</v>
      </c>
      <c r="I47">
        <v>71157</v>
      </c>
      <c r="J47">
        <v>4749379</v>
      </c>
      <c r="K47" s="1">
        <f t="shared" si="0"/>
        <v>1.4982379801654068E-2</v>
      </c>
      <c r="L47" s="1">
        <f t="shared" si="1"/>
        <v>0.93763543618905743</v>
      </c>
      <c r="M47" s="1">
        <f t="shared" si="2"/>
        <v>0.35257875535506139</v>
      </c>
      <c r="N47" s="1">
        <f t="shared" si="3"/>
        <v>0.99955252293942198</v>
      </c>
      <c r="O47" s="1">
        <f t="shared" si="4"/>
        <v>0.42451874366767972</v>
      </c>
      <c r="P47" s="1">
        <f t="shared" si="5"/>
        <v>0.71438336166819116</v>
      </c>
      <c r="Q47">
        <f t="shared" si="6"/>
        <v>0.73011780662640702</v>
      </c>
    </row>
    <row r="48" spans="1:17" x14ac:dyDescent="0.3">
      <c r="A48" s="2" t="s">
        <v>52</v>
      </c>
      <c r="B48" s="2" t="s">
        <v>24</v>
      </c>
      <c r="C48">
        <v>757098</v>
      </c>
      <c r="D48">
        <v>5877</v>
      </c>
      <c r="E48">
        <v>191.09407254497199</v>
      </c>
      <c r="F48">
        <v>-69.054441260744994</v>
      </c>
      <c r="G48">
        <v>10.97</v>
      </c>
      <c r="H48">
        <v>3.01150644499273</v>
      </c>
      <c r="I48">
        <v>5877</v>
      </c>
      <c r="J48">
        <v>762975</v>
      </c>
      <c r="K48" s="1">
        <f t="shared" si="0"/>
        <v>7.7027425538189328E-3</v>
      </c>
      <c r="L48" s="1">
        <f t="shared" si="1"/>
        <v>0.14136578366315913</v>
      </c>
      <c r="M48" s="1">
        <f t="shared" si="2"/>
        <v>2.3176251532720751E-2</v>
      </c>
      <c r="N48" s="1">
        <f t="shared" si="3"/>
        <v>0.70342569849249947</v>
      </c>
      <c r="O48" s="1">
        <f t="shared" si="4"/>
        <v>0.80040526849037485</v>
      </c>
      <c r="P48" s="1">
        <f t="shared" si="5"/>
        <v>8.1554830415791188E-2</v>
      </c>
      <c r="Q48">
        <f t="shared" si="6"/>
        <v>0.28415323675440241</v>
      </c>
    </row>
    <row r="49" spans="1:17" x14ac:dyDescent="0.3">
      <c r="A49" s="2" t="s">
        <v>52</v>
      </c>
      <c r="B49" s="2" t="s">
        <v>25</v>
      </c>
      <c r="C49">
        <v>4195416</v>
      </c>
      <c r="D49">
        <v>63496</v>
      </c>
      <c r="E49">
        <v>152.45677769345701</v>
      </c>
      <c r="F49">
        <v>37.811737238671299</v>
      </c>
      <c r="G49">
        <v>-3.93</v>
      </c>
      <c r="H49">
        <v>5.7082752730705204</v>
      </c>
      <c r="I49">
        <v>63496</v>
      </c>
      <c r="J49">
        <v>4258912</v>
      </c>
      <c r="K49" s="1">
        <f t="shared" si="0"/>
        <v>1.4908972056713076E-2</v>
      </c>
      <c r="L49" s="1">
        <f t="shared" si="1"/>
        <v>0.83959115963533992</v>
      </c>
      <c r="M49" s="1">
        <f t="shared" si="2"/>
        <v>0.31392139350176862</v>
      </c>
      <c r="N49" s="1">
        <f t="shared" si="3"/>
        <v>0.50881266232454281</v>
      </c>
      <c r="O49" s="1">
        <f t="shared" si="4"/>
        <v>4.5592705167173245E-2</v>
      </c>
      <c r="P49" s="1">
        <f t="shared" si="5"/>
        <v>0.38763472041154962</v>
      </c>
      <c r="Q49">
        <f t="shared" si="6"/>
        <v>0.51742252927059196</v>
      </c>
    </row>
    <row r="50" spans="1:17" x14ac:dyDescent="0.3">
      <c r="A50" s="2" t="s">
        <v>52</v>
      </c>
      <c r="B50" s="2" t="s">
        <v>26</v>
      </c>
      <c r="C50">
        <v>4679021</v>
      </c>
      <c r="D50">
        <v>79019</v>
      </c>
      <c r="E50">
        <v>174.44157678371701</v>
      </c>
      <c r="F50">
        <v>77.698483496877699</v>
      </c>
      <c r="G50">
        <v>-4.07</v>
      </c>
      <c r="H50">
        <v>6.32772496710274</v>
      </c>
      <c r="I50">
        <v>79019</v>
      </c>
      <c r="J50">
        <v>4758040</v>
      </c>
      <c r="K50" s="1">
        <f t="shared" si="0"/>
        <v>1.6607468621533235E-2</v>
      </c>
      <c r="L50" s="1">
        <f t="shared" si="1"/>
        <v>0.9377976905458103</v>
      </c>
      <c r="M50" s="1">
        <f t="shared" si="2"/>
        <v>0.39225036205008657</v>
      </c>
      <c r="N50" s="1">
        <f t="shared" si="3"/>
        <v>0.61954837808675189</v>
      </c>
      <c r="O50" s="1">
        <f t="shared" si="4"/>
        <v>3.8500506585612951E-2</v>
      </c>
      <c r="P50" s="1">
        <f t="shared" si="5"/>
        <v>0.50187601806464399</v>
      </c>
      <c r="Q50">
        <f t="shared" si="6"/>
        <v>0.60423911028593125</v>
      </c>
    </row>
    <row r="51" spans="1:17" x14ac:dyDescent="0.3">
      <c r="A51" s="2" t="s">
        <v>52</v>
      </c>
      <c r="B51" s="2" t="s">
        <v>27</v>
      </c>
      <c r="C51">
        <v>737689</v>
      </c>
      <c r="D51">
        <v>65898</v>
      </c>
      <c r="E51">
        <v>146.09494678236399</v>
      </c>
      <c r="F51">
        <v>-74.865298840321103</v>
      </c>
      <c r="G51">
        <v>2.4</v>
      </c>
      <c r="H51">
        <v>26.325477063881099</v>
      </c>
      <c r="I51">
        <v>65898</v>
      </c>
      <c r="J51">
        <v>803587</v>
      </c>
      <c r="K51" s="1">
        <f t="shared" si="0"/>
        <v>8.2004810928997113E-2</v>
      </c>
      <c r="L51" s="1">
        <f t="shared" si="1"/>
        <v>0.1374243633750287</v>
      </c>
      <c r="M51" s="1">
        <f t="shared" si="2"/>
        <v>0.32604187166018256</v>
      </c>
      <c r="N51" s="1">
        <f t="shared" si="3"/>
        <v>0.47676861695456974</v>
      </c>
      <c r="O51" s="1">
        <f t="shared" si="4"/>
        <v>0.36626139817629177</v>
      </c>
      <c r="P51" s="1">
        <f t="shared" si="5"/>
        <v>6.4911710265786113E-2</v>
      </c>
      <c r="Q51">
        <f t="shared" si="6"/>
        <v>0.26808002933142744</v>
      </c>
    </row>
    <row r="52" spans="1:17" x14ac:dyDescent="0.3">
      <c r="A52" s="2" t="s">
        <v>52</v>
      </c>
      <c r="B52" s="2" t="s">
        <v>28</v>
      </c>
      <c r="C52">
        <v>4633304</v>
      </c>
      <c r="D52">
        <v>68559</v>
      </c>
      <c r="E52">
        <v>114.975702184432</v>
      </c>
      <c r="F52">
        <v>15.7395182872435</v>
      </c>
      <c r="G52">
        <v>4.8600000000000003</v>
      </c>
      <c r="H52">
        <v>5.5880543001177703</v>
      </c>
      <c r="I52">
        <v>68559</v>
      </c>
      <c r="J52">
        <v>4701863</v>
      </c>
      <c r="K52" s="1">
        <f t="shared" si="0"/>
        <v>1.4581241520648304E-2</v>
      </c>
      <c r="L52" s="1">
        <f t="shared" si="1"/>
        <v>0.92851385772019024</v>
      </c>
      <c r="M52" s="1">
        <f t="shared" si="2"/>
        <v>0.33946926232610242</v>
      </c>
      <c r="N52" s="1">
        <f t="shared" si="3"/>
        <v>0.32002341267121748</v>
      </c>
      <c r="O52" s="1">
        <f t="shared" si="4"/>
        <v>0.49088145896656538</v>
      </c>
      <c r="P52" s="1">
        <f t="shared" si="5"/>
        <v>0.32441675525663188</v>
      </c>
      <c r="Q52">
        <f t="shared" si="6"/>
        <v>0.55538166974015546</v>
      </c>
    </row>
    <row r="53" spans="1:17" x14ac:dyDescent="0.3">
      <c r="A53" s="2" t="s">
        <v>52</v>
      </c>
      <c r="B53" s="2" t="s">
        <v>29</v>
      </c>
      <c r="C53">
        <v>1294143</v>
      </c>
      <c r="D53">
        <v>184334</v>
      </c>
      <c r="E53">
        <v>128.37534841597099</v>
      </c>
      <c r="F53">
        <v>-59.364852809991</v>
      </c>
      <c r="G53">
        <v>13.59</v>
      </c>
      <c r="H53">
        <v>36.295526559713302</v>
      </c>
      <c r="I53">
        <v>184334</v>
      </c>
      <c r="J53">
        <v>1478477</v>
      </c>
      <c r="K53" s="1">
        <f t="shared" si="0"/>
        <v>0.12467830071079902</v>
      </c>
      <c r="L53" s="1">
        <f t="shared" si="1"/>
        <v>0.25042447080000335</v>
      </c>
      <c r="M53" s="1">
        <f t="shared" si="2"/>
        <v>0.92366924516972204</v>
      </c>
      <c r="N53" s="1">
        <f t="shared" si="3"/>
        <v>0.38751638407923189</v>
      </c>
      <c r="O53" s="1">
        <f t="shared" si="4"/>
        <v>0.93313069908814594</v>
      </c>
      <c r="P53" s="1">
        <f t="shared" si="5"/>
        <v>0.10930718582660202</v>
      </c>
      <c r="Q53">
        <f t="shared" si="6"/>
        <v>0.50031294137975291</v>
      </c>
    </row>
    <row r="54" spans="1:17" x14ac:dyDescent="0.3">
      <c r="A54" s="2" t="s">
        <v>52</v>
      </c>
      <c r="B54" s="2" t="s">
        <v>30</v>
      </c>
      <c r="C54">
        <v>932833</v>
      </c>
      <c r="D54">
        <v>187830</v>
      </c>
      <c r="E54">
        <v>190.066059109652</v>
      </c>
      <c r="F54">
        <v>-54.397859054415697</v>
      </c>
      <c r="G54">
        <v>4.32</v>
      </c>
      <c r="H54">
        <v>44.6111487495494</v>
      </c>
      <c r="I54">
        <v>187830</v>
      </c>
      <c r="J54">
        <v>1120663</v>
      </c>
      <c r="K54" s="1">
        <f t="shared" si="0"/>
        <v>0.16760614029373683</v>
      </c>
      <c r="L54" s="1">
        <f t="shared" si="1"/>
        <v>0.17705260391843256</v>
      </c>
      <c r="M54" s="1">
        <f t="shared" si="2"/>
        <v>0.94131004102393312</v>
      </c>
      <c r="N54" s="1">
        <f t="shared" si="3"/>
        <v>0.69824767511798702</v>
      </c>
      <c r="O54" s="1">
        <f t="shared" si="4"/>
        <v>0.46352583586626139</v>
      </c>
      <c r="P54" s="1">
        <f t="shared" si="5"/>
        <v>0.12353336031570301</v>
      </c>
      <c r="Q54">
        <f t="shared" si="6"/>
        <v>0.49565137626922856</v>
      </c>
    </row>
    <row r="55" spans="1:17" x14ac:dyDescent="0.3">
      <c r="A55" s="2" t="s">
        <v>52</v>
      </c>
      <c r="B55" s="2" t="s">
        <v>31</v>
      </c>
      <c r="C55">
        <v>3124770</v>
      </c>
      <c r="D55">
        <v>112211</v>
      </c>
      <c r="E55">
        <v>197.220805435682</v>
      </c>
      <c r="F55">
        <v>36.677966101694899</v>
      </c>
      <c r="G55">
        <v>11.23</v>
      </c>
      <c r="H55">
        <v>12.559946317649301</v>
      </c>
      <c r="I55">
        <v>112211</v>
      </c>
      <c r="J55">
        <v>3236981</v>
      </c>
      <c r="K55" s="1">
        <f t="shared" si="0"/>
        <v>3.4665325499284673E-2</v>
      </c>
      <c r="L55" s="1">
        <f t="shared" si="1"/>
        <v>0.62217316459150995</v>
      </c>
      <c r="M55" s="1">
        <f t="shared" si="2"/>
        <v>0.55973700278034277</v>
      </c>
      <c r="N55" s="1">
        <f t="shared" si="3"/>
        <v>0.73428557349755319</v>
      </c>
      <c r="O55" s="1">
        <f t="shared" si="4"/>
        <v>0.81357649442755831</v>
      </c>
      <c r="P55" s="1">
        <f t="shared" si="5"/>
        <v>0.38438743909430856</v>
      </c>
      <c r="Q55">
        <f t="shared" si="6"/>
        <v>0.62434836635381141</v>
      </c>
    </row>
    <row r="56" spans="1:17" x14ac:dyDescent="0.3">
      <c r="A56" s="2" t="s">
        <v>52</v>
      </c>
      <c r="B56" s="2" t="s">
        <v>32</v>
      </c>
      <c r="C56">
        <v>3418432</v>
      </c>
      <c r="D56">
        <v>96341</v>
      </c>
      <c r="E56">
        <v>196.99707491778199</v>
      </c>
      <c r="F56">
        <v>48.239072256913403</v>
      </c>
      <c r="G56">
        <v>13.32</v>
      </c>
      <c r="H56">
        <v>10.1310375214654</v>
      </c>
      <c r="I56">
        <v>96341</v>
      </c>
      <c r="J56">
        <v>3514773</v>
      </c>
      <c r="K56" s="1">
        <f t="shared" si="0"/>
        <v>2.7410305018275717E-2</v>
      </c>
      <c r="L56" s="1">
        <f t="shared" si="1"/>
        <v>0.68180763131586253</v>
      </c>
      <c r="M56" s="1">
        <f t="shared" si="2"/>
        <v>0.47965707423162124</v>
      </c>
      <c r="N56" s="1">
        <f t="shared" si="3"/>
        <v>0.73315866035471333</v>
      </c>
      <c r="O56" s="1">
        <f t="shared" si="4"/>
        <v>0.9194528875379937</v>
      </c>
      <c r="P56" s="1">
        <f t="shared" si="5"/>
        <v>0.41750008661204396</v>
      </c>
      <c r="Q56">
        <f t="shared" si="6"/>
        <v>0.63887396900440363</v>
      </c>
    </row>
    <row r="57" spans="1:17" x14ac:dyDescent="0.3">
      <c r="A57" s="2" t="s">
        <v>52</v>
      </c>
      <c r="B57" s="2" t="s">
        <v>33</v>
      </c>
      <c r="C57">
        <v>4671081</v>
      </c>
      <c r="D57">
        <v>89013</v>
      </c>
      <c r="E57">
        <v>213.33612319420499</v>
      </c>
      <c r="F57">
        <v>117.41302408563701</v>
      </c>
      <c r="G57">
        <v>3.34</v>
      </c>
      <c r="H57">
        <v>7.0826055328156201</v>
      </c>
      <c r="I57">
        <v>89013</v>
      </c>
      <c r="J57">
        <v>4760094</v>
      </c>
      <c r="K57" s="1">
        <f t="shared" si="0"/>
        <v>1.8699840801463165E-2</v>
      </c>
      <c r="L57" s="1">
        <f t="shared" si="1"/>
        <v>0.93618530056756533</v>
      </c>
      <c r="M57" s="1">
        <f t="shared" si="2"/>
        <v>0.44268002845940752</v>
      </c>
      <c r="N57" s="1">
        <f t="shared" si="3"/>
        <v>0.81545717026306985</v>
      </c>
      <c r="O57" s="1">
        <f t="shared" si="4"/>
        <v>0.41388044579533939</v>
      </c>
      <c r="P57" s="1">
        <f t="shared" si="5"/>
        <v>0.61562409425982612</v>
      </c>
      <c r="Q57">
        <f t="shared" si="6"/>
        <v>0.70437675037163017</v>
      </c>
    </row>
    <row r="58" spans="1:17" x14ac:dyDescent="0.3">
      <c r="A58" s="2" t="s">
        <v>52</v>
      </c>
      <c r="B58" s="2" t="s">
        <v>34</v>
      </c>
      <c r="C58">
        <v>2934182</v>
      </c>
      <c r="D58">
        <v>114309</v>
      </c>
      <c r="E58">
        <v>219.71526240359501</v>
      </c>
      <c r="F58">
        <v>43.400535236396003</v>
      </c>
      <c r="G58">
        <v>14.47</v>
      </c>
      <c r="H58">
        <v>13.482148175188</v>
      </c>
      <c r="I58">
        <v>114309</v>
      </c>
      <c r="J58">
        <v>3048491</v>
      </c>
      <c r="K58" s="1">
        <f t="shared" si="0"/>
        <v>3.749691240682685E-2</v>
      </c>
      <c r="L58" s="1">
        <f t="shared" si="1"/>
        <v>0.583470119103633</v>
      </c>
      <c r="M58" s="1">
        <f t="shared" si="2"/>
        <v>0.57032349869056453</v>
      </c>
      <c r="N58" s="1">
        <f t="shared" si="3"/>
        <v>0.8475883961795958</v>
      </c>
      <c r="O58" s="1">
        <f t="shared" si="4"/>
        <v>0.97771023302938187</v>
      </c>
      <c r="P58" s="1">
        <f t="shared" si="5"/>
        <v>0.40364183042869534</v>
      </c>
      <c r="Q58">
        <f t="shared" si="6"/>
        <v>0.65444830194063952</v>
      </c>
    </row>
    <row r="59" spans="1:17" x14ac:dyDescent="0.3">
      <c r="A59" s="2" t="s">
        <v>52</v>
      </c>
      <c r="B59" s="2" t="s">
        <v>35</v>
      </c>
      <c r="C59">
        <v>4586102</v>
      </c>
      <c r="D59">
        <v>94676</v>
      </c>
      <c r="E59">
        <v>96.052408381683506</v>
      </c>
      <c r="F59">
        <v>-3.7430865298840299</v>
      </c>
      <c r="G59">
        <v>-0.11</v>
      </c>
      <c r="H59">
        <v>7.6277703499391496</v>
      </c>
      <c r="I59">
        <v>94676</v>
      </c>
      <c r="J59">
        <v>4680778</v>
      </c>
      <c r="K59" s="1">
        <f t="shared" si="0"/>
        <v>2.0226552081726586E-2</v>
      </c>
      <c r="L59" s="1">
        <f t="shared" si="1"/>
        <v>0.91892846329284561</v>
      </c>
      <c r="M59" s="1">
        <f t="shared" si="2"/>
        <v>0.47125549382622606</v>
      </c>
      <c r="N59" s="1">
        <f t="shared" si="3"/>
        <v>0.22470825990485441</v>
      </c>
      <c r="O59" s="1">
        <f t="shared" si="4"/>
        <v>0.23910840932117525</v>
      </c>
      <c r="P59" s="1">
        <f t="shared" si="5"/>
        <v>0.26861581221748504</v>
      </c>
      <c r="Q59">
        <f t="shared" si="6"/>
        <v>0.5351529097438894</v>
      </c>
    </row>
    <row r="60" spans="1:17" x14ac:dyDescent="0.3">
      <c r="A60" s="2" t="s">
        <v>52</v>
      </c>
      <c r="B60" s="2" t="s">
        <v>36</v>
      </c>
      <c r="C60">
        <v>1362558</v>
      </c>
      <c r="D60">
        <v>77541</v>
      </c>
      <c r="E60">
        <v>102.354074268505</v>
      </c>
      <c r="F60">
        <v>-68.442462087421902</v>
      </c>
      <c r="G60">
        <v>-2.54</v>
      </c>
      <c r="H60">
        <v>18.5424714925731</v>
      </c>
      <c r="I60">
        <v>77541</v>
      </c>
      <c r="J60">
        <v>1440099</v>
      </c>
      <c r="K60" s="1">
        <f t="shared" si="0"/>
        <v>5.3844214876893878E-2</v>
      </c>
      <c r="L60" s="1">
        <f t="shared" si="1"/>
        <v>0.26431762701683281</v>
      </c>
      <c r="M60" s="1">
        <f t="shared" si="2"/>
        <v>0.38479238256709913</v>
      </c>
      <c r="N60" s="1">
        <f t="shared" si="3"/>
        <v>0.25644925874712415</v>
      </c>
      <c r="O60" s="1">
        <f t="shared" si="4"/>
        <v>0.11600810536980749</v>
      </c>
      <c r="P60" s="1">
        <f t="shared" si="5"/>
        <v>8.3307625553416975E-2</v>
      </c>
      <c r="Q60">
        <f t="shared" si="6"/>
        <v>0.25993068993941354</v>
      </c>
    </row>
    <row r="61" spans="1:17" x14ac:dyDescent="0.3">
      <c r="A61" s="2" t="s">
        <v>52</v>
      </c>
      <c r="B61" s="2" t="s">
        <v>37</v>
      </c>
      <c r="C61">
        <v>779058</v>
      </c>
      <c r="D61">
        <v>26654</v>
      </c>
      <c r="E61">
        <v>125.479079373274</v>
      </c>
      <c r="F61">
        <v>-78.355040142729706</v>
      </c>
      <c r="G61">
        <v>-4.24</v>
      </c>
      <c r="H61">
        <v>12.037837850044101</v>
      </c>
      <c r="I61">
        <v>26654</v>
      </c>
      <c r="J61">
        <v>805712</v>
      </c>
      <c r="K61" s="1">
        <f t="shared" si="0"/>
        <v>3.3081299521417085E-2</v>
      </c>
      <c r="L61" s="1">
        <f t="shared" si="1"/>
        <v>0.14582524007654182</v>
      </c>
      <c r="M61" s="1">
        <f t="shared" si="2"/>
        <v>0.12801687380473012</v>
      </c>
      <c r="N61" s="1">
        <f t="shared" si="3"/>
        <v>0.37292810314174224</v>
      </c>
      <c r="O61" s="1">
        <f t="shared" si="4"/>
        <v>2.9888551165146899E-2</v>
      </c>
      <c r="P61" s="1">
        <f t="shared" si="5"/>
        <v>5.4916596292839896E-2</v>
      </c>
      <c r="Q61">
        <f t="shared" si="6"/>
        <v>0.16610918785211931</v>
      </c>
    </row>
    <row r="62" spans="1:17" x14ac:dyDescent="0.3">
      <c r="A62" s="2" t="s">
        <v>52</v>
      </c>
      <c r="B62" s="2" t="s">
        <v>38</v>
      </c>
      <c r="C62">
        <v>3753468</v>
      </c>
      <c r="D62">
        <v>174532</v>
      </c>
      <c r="E62">
        <v>244.70468431771801</v>
      </c>
      <c r="F62">
        <v>103.12764158918</v>
      </c>
      <c r="G62">
        <v>-3.63</v>
      </c>
      <c r="H62">
        <v>15.682645055840601</v>
      </c>
      <c r="I62">
        <v>174532</v>
      </c>
      <c r="J62">
        <v>3928000</v>
      </c>
      <c r="K62" s="1">
        <f t="shared" si="0"/>
        <v>4.4432790224032584E-2</v>
      </c>
      <c r="L62" s="1">
        <f t="shared" si="1"/>
        <v>0.74984399010065661</v>
      </c>
      <c r="M62" s="1">
        <f t="shared" si="2"/>
        <v>0.87420840965399615</v>
      </c>
      <c r="N62" s="1">
        <f t="shared" si="3"/>
        <v>0.97345816241140171</v>
      </c>
      <c r="O62" s="1">
        <f t="shared" si="4"/>
        <v>6.0790273556231005E-2</v>
      </c>
      <c r="P62" s="1">
        <f t="shared" si="5"/>
        <v>0.57470873296909952</v>
      </c>
      <c r="Q62">
        <f t="shared" si="6"/>
        <v>0.73923903208354214</v>
      </c>
    </row>
    <row r="63" spans="1:17" x14ac:dyDescent="0.3">
      <c r="A63" s="2" t="s">
        <v>52</v>
      </c>
      <c r="B63" s="2" t="s">
        <v>39</v>
      </c>
      <c r="C63">
        <v>1564507</v>
      </c>
      <c r="D63">
        <v>185991</v>
      </c>
      <c r="E63">
        <v>169.15186421235501</v>
      </c>
      <c r="F63">
        <v>-37.426035502958499</v>
      </c>
      <c r="G63">
        <v>-4.62</v>
      </c>
      <c r="H63">
        <v>32.227565345200297</v>
      </c>
      <c r="I63">
        <v>185991</v>
      </c>
      <c r="J63">
        <v>1750498</v>
      </c>
      <c r="K63" s="1">
        <f t="shared" si="0"/>
        <v>0.1062503356187782</v>
      </c>
      <c r="L63" s="1">
        <f t="shared" si="1"/>
        <v>0.30532777106174258</v>
      </c>
      <c r="M63" s="1">
        <f t="shared" si="2"/>
        <v>0.93203045762121739</v>
      </c>
      <c r="N63" s="1">
        <f t="shared" si="3"/>
        <v>0.59290450904972991</v>
      </c>
      <c r="O63" s="1">
        <f t="shared" si="4"/>
        <v>1.0638297872340422E-2</v>
      </c>
      <c r="P63" s="1">
        <f t="shared" si="5"/>
        <v>0.17214306975418373</v>
      </c>
      <c r="Q63">
        <f t="shared" si="6"/>
        <v>0.47673137284951256</v>
      </c>
    </row>
    <row r="64" spans="1:17" x14ac:dyDescent="0.3">
      <c r="A64" s="2" t="s">
        <v>52</v>
      </c>
      <c r="B64" s="2" t="s">
        <v>40</v>
      </c>
      <c r="C64">
        <v>4066454</v>
      </c>
      <c r="D64">
        <v>52591</v>
      </c>
      <c r="E64">
        <v>164.06715634327799</v>
      </c>
      <c r="F64">
        <v>42.814877430262001</v>
      </c>
      <c r="G64">
        <v>6.79</v>
      </c>
      <c r="H64">
        <v>4.9187035782209998</v>
      </c>
      <c r="I64">
        <v>52591</v>
      </c>
      <c r="J64">
        <v>4119045</v>
      </c>
      <c r="K64" s="1">
        <f t="shared" si="0"/>
        <v>1.2767765343665825E-2</v>
      </c>
      <c r="L64" s="1">
        <f t="shared" si="1"/>
        <v>0.81340261601135744</v>
      </c>
      <c r="M64" s="1">
        <f t="shared" si="2"/>
        <v>0.25889482634210831</v>
      </c>
      <c r="N64" s="1">
        <f t="shared" si="3"/>
        <v>0.56729323268498777</v>
      </c>
      <c r="O64" s="1">
        <f t="shared" si="4"/>
        <v>0.58865248226950351</v>
      </c>
      <c r="P64" s="1">
        <f t="shared" si="5"/>
        <v>0.40196442341935201</v>
      </c>
      <c r="Q64">
        <f t="shared" si="6"/>
        <v>0.56193495929538528</v>
      </c>
    </row>
    <row r="65" spans="1:17" x14ac:dyDescent="0.3">
      <c r="A65" s="2" t="s">
        <v>52</v>
      </c>
      <c r="B65" s="2" t="s">
        <v>41</v>
      </c>
      <c r="C65">
        <v>4463830</v>
      </c>
      <c r="D65">
        <v>83077</v>
      </c>
      <c r="E65">
        <v>148.54053535733101</v>
      </c>
      <c r="F65">
        <v>42.730346576500402</v>
      </c>
      <c r="G65">
        <v>14.55</v>
      </c>
      <c r="H65">
        <v>6.9286580160954498</v>
      </c>
      <c r="I65">
        <v>83077</v>
      </c>
      <c r="J65">
        <v>4546907</v>
      </c>
      <c r="K65" s="1">
        <f t="shared" si="0"/>
        <v>1.8271101652178063E-2</v>
      </c>
      <c r="L65" s="1">
        <f t="shared" si="1"/>
        <v>0.89409846991501651</v>
      </c>
      <c r="M65" s="1">
        <f t="shared" si="2"/>
        <v>0.4127270066657584</v>
      </c>
      <c r="N65" s="1">
        <f t="shared" si="3"/>
        <v>0.48908685557922171</v>
      </c>
      <c r="O65" s="1">
        <f t="shared" si="4"/>
        <v>0.98176291793313075</v>
      </c>
      <c r="P65" s="1">
        <f t="shared" si="5"/>
        <v>0.40172231506679462</v>
      </c>
      <c r="Q65">
        <f t="shared" si="6"/>
        <v>0.65228211055253227</v>
      </c>
    </row>
    <row r="66" spans="1:17" x14ac:dyDescent="0.3">
      <c r="A66" s="2" t="s">
        <v>52</v>
      </c>
      <c r="B66" s="2" t="s">
        <v>42</v>
      </c>
      <c r="C66">
        <v>907686</v>
      </c>
      <c r="D66">
        <v>103291</v>
      </c>
      <c r="E66">
        <v>129.18196952057201</v>
      </c>
      <c r="F66">
        <v>-72.400676246830002</v>
      </c>
      <c r="G66">
        <v>4.42</v>
      </c>
      <c r="H66">
        <v>31.280160502706501</v>
      </c>
      <c r="I66">
        <v>103291</v>
      </c>
      <c r="J66">
        <v>1010977</v>
      </c>
      <c r="K66" s="1">
        <f t="shared" si="0"/>
        <v>0.10216948555704036</v>
      </c>
      <c r="L66" s="1">
        <f t="shared" si="1"/>
        <v>0.1719459577241095</v>
      </c>
      <c r="M66" s="1">
        <f t="shared" si="2"/>
        <v>0.5147267341820696</v>
      </c>
      <c r="N66" s="1">
        <f t="shared" si="3"/>
        <v>0.39157927157709721</v>
      </c>
      <c r="O66" s="1">
        <f t="shared" si="4"/>
        <v>0.46859169199594725</v>
      </c>
      <c r="P66" s="1">
        <f t="shared" si="5"/>
        <v>7.1970738883534779E-2</v>
      </c>
      <c r="Q66">
        <f t="shared" si="6"/>
        <v>0.32123486615232338</v>
      </c>
    </row>
    <row r="67" spans="1:17" x14ac:dyDescent="0.3">
      <c r="A67" s="2" t="s">
        <v>52</v>
      </c>
      <c r="B67" s="2" t="s">
        <v>43</v>
      </c>
      <c r="C67">
        <v>4159261</v>
      </c>
      <c r="D67">
        <v>174239</v>
      </c>
      <c r="E67">
        <v>95.6963193723318</v>
      </c>
      <c r="F67">
        <v>-12.362637362637299</v>
      </c>
      <c r="G67">
        <v>5.49</v>
      </c>
      <c r="H67">
        <v>14.351829829680099</v>
      </c>
      <c r="I67">
        <v>174239</v>
      </c>
      <c r="J67">
        <v>4333500</v>
      </c>
      <c r="K67" s="1">
        <f t="shared" ref="K67:K130" si="7">I67/J67</f>
        <v>4.0207453559478482E-2</v>
      </c>
      <c r="L67" s="1">
        <f t="shared" ref="L67:L130" si="8">(C67-$A$435)/($A$436-$A$435)</f>
        <v>0.83224909922432666</v>
      </c>
      <c r="M67" s="1">
        <f t="shared" ref="M67:M130" si="9">(D67-$B$435)/($B$436-$B$435)</f>
        <v>0.87272993334241611</v>
      </c>
      <c r="N67" s="1">
        <f t="shared" ref="N67:N130" si="10">(E67-$C$435)/($C$436-$C$435)</f>
        <v>0.22291466737923127</v>
      </c>
      <c r="O67" s="1">
        <f t="shared" ref="O67:O130" si="11">(G67-$E$435)/($E$436-$E$435)</f>
        <v>0.52279635258358659</v>
      </c>
      <c r="P67" s="1">
        <f t="shared" ref="P67:P130" si="12">(F67-$D$435)/($D$436-$D$435)</f>
        <v>0.24392819628747048</v>
      </c>
      <c r="Q67">
        <f t="shared" ref="Q67:Q130" si="13">(0.35)*(L67)+(0.25)*(M67)+(0.2)*(N67)+(0.1)*(O67)+(0.1)*(P67)</f>
        <v>0.63072505642707044</v>
      </c>
    </row>
    <row r="68" spans="1:17" x14ac:dyDescent="0.3">
      <c r="A68" s="2" t="s">
        <v>52</v>
      </c>
      <c r="B68" s="2" t="s">
        <v>44</v>
      </c>
      <c r="C68">
        <v>1275439</v>
      </c>
      <c r="D68">
        <v>131079</v>
      </c>
      <c r="E68">
        <v>171.70061101244301</v>
      </c>
      <c r="F68">
        <v>-48.964497041420103</v>
      </c>
      <c r="G68">
        <v>0.57999999999999996</v>
      </c>
      <c r="H68">
        <v>29.132631941569802</v>
      </c>
      <c r="I68">
        <v>131079</v>
      </c>
      <c r="J68">
        <v>1406518</v>
      </c>
      <c r="K68" s="1">
        <f t="shared" si="7"/>
        <v>9.3193972633126634E-2</v>
      </c>
      <c r="L68" s="1">
        <f t="shared" si="8"/>
        <v>0.24662621612077248</v>
      </c>
      <c r="M68" s="1">
        <f t="shared" si="9"/>
        <v>0.65494482205301319</v>
      </c>
      <c r="N68" s="1">
        <f t="shared" si="10"/>
        <v>0.60574234759652046</v>
      </c>
      <c r="O68" s="1">
        <f t="shared" si="11"/>
        <v>0.27406281661600806</v>
      </c>
      <c r="P68" s="1">
        <f t="shared" si="12"/>
        <v>0.13909527963009027</v>
      </c>
      <c r="Q68">
        <f t="shared" si="13"/>
        <v>0.4125196602994376</v>
      </c>
    </row>
    <row r="69" spans="1:17" x14ac:dyDescent="0.3">
      <c r="A69" s="2" t="s">
        <v>52</v>
      </c>
      <c r="B69" s="2" t="s">
        <v>45</v>
      </c>
      <c r="C69">
        <v>360369</v>
      </c>
      <c r="D69">
        <v>82373</v>
      </c>
      <c r="E69">
        <v>216.604704319897</v>
      </c>
      <c r="F69">
        <v>-79.733727810650905</v>
      </c>
      <c r="G69">
        <v>1.35</v>
      </c>
      <c r="H69">
        <v>47.762085405610698</v>
      </c>
      <c r="I69">
        <v>82373</v>
      </c>
      <c r="J69">
        <v>442742</v>
      </c>
      <c r="K69" s="1">
        <f t="shared" si="7"/>
        <v>0.18605192188678735</v>
      </c>
      <c r="L69" s="1">
        <f t="shared" si="8"/>
        <v>6.0801317204830591E-2</v>
      </c>
      <c r="M69" s="1">
        <f t="shared" si="9"/>
        <v>0.40917462672257626</v>
      </c>
      <c r="N69" s="1">
        <f t="shared" si="10"/>
        <v>0.83192075808092292</v>
      </c>
      <c r="O69" s="1">
        <f t="shared" si="11"/>
        <v>0.31306990881458963</v>
      </c>
      <c r="P69" s="1">
        <f t="shared" si="12"/>
        <v>5.0967839299174839E-2</v>
      </c>
      <c r="Q69">
        <f t="shared" si="13"/>
        <v>0.32636204412989578</v>
      </c>
    </row>
    <row r="70" spans="1:17" x14ac:dyDescent="0.3">
      <c r="A70" s="2" t="s">
        <v>52</v>
      </c>
      <c r="B70" s="2" t="s">
        <v>46</v>
      </c>
      <c r="C70">
        <v>4010638</v>
      </c>
      <c r="D70">
        <v>146906</v>
      </c>
      <c r="E70">
        <v>163.966995899502</v>
      </c>
      <c r="F70">
        <v>44.0617075232459</v>
      </c>
      <c r="G70">
        <v>-1.37</v>
      </c>
      <c r="H70">
        <v>12.7792631215881</v>
      </c>
      <c r="I70">
        <v>146906</v>
      </c>
      <c r="J70">
        <v>4157544</v>
      </c>
      <c r="K70" s="1">
        <f t="shared" si="7"/>
        <v>3.5334803432026218E-2</v>
      </c>
      <c r="L70" s="1">
        <f t="shared" si="8"/>
        <v>0.80206796122222412</v>
      </c>
      <c r="M70" s="1">
        <f t="shared" si="9"/>
        <v>0.73480777284952337</v>
      </c>
      <c r="N70" s="1">
        <f t="shared" si="10"/>
        <v>0.56678873235332417</v>
      </c>
      <c r="O70" s="1">
        <f t="shared" si="11"/>
        <v>0.17527862208713271</v>
      </c>
      <c r="P70" s="1">
        <f t="shared" si="12"/>
        <v>0.40553552161957446</v>
      </c>
      <c r="Q70">
        <f t="shared" si="13"/>
        <v>0.63586489048149486</v>
      </c>
    </row>
    <row r="71" spans="1:17" x14ac:dyDescent="0.3">
      <c r="A71" s="2" t="s">
        <v>52</v>
      </c>
      <c r="B71" s="2" t="s">
        <v>47</v>
      </c>
      <c r="C71">
        <v>4656927</v>
      </c>
      <c r="D71">
        <v>80076</v>
      </c>
      <c r="E71">
        <v>223.77017705076301</v>
      </c>
      <c r="F71">
        <v>124.0067624683</v>
      </c>
      <c r="G71">
        <v>3.07</v>
      </c>
      <c r="H71">
        <v>6.4353854582999999</v>
      </c>
      <c r="I71">
        <v>80076</v>
      </c>
      <c r="J71">
        <v>4737003</v>
      </c>
      <c r="K71" s="1">
        <f t="shared" si="7"/>
        <v>1.6904359148600921E-2</v>
      </c>
      <c r="L71" s="1">
        <f t="shared" si="8"/>
        <v>0.93331102251314735</v>
      </c>
      <c r="M71" s="1">
        <f t="shared" si="9"/>
        <v>0.39758397795909717</v>
      </c>
      <c r="N71" s="1">
        <f t="shared" si="10"/>
        <v>0.86801268452379754</v>
      </c>
      <c r="O71" s="1">
        <f t="shared" si="11"/>
        <v>0.40020263424518743</v>
      </c>
      <c r="P71" s="1">
        <f t="shared" si="12"/>
        <v>0.63450949605078955</v>
      </c>
      <c r="Q71">
        <f t="shared" si="13"/>
        <v>0.70312860230373286</v>
      </c>
    </row>
    <row r="72" spans="1:17" x14ac:dyDescent="0.3">
      <c r="A72" s="2" t="s">
        <v>52</v>
      </c>
      <c r="B72" s="2" t="s">
        <v>48</v>
      </c>
      <c r="C72">
        <v>1179593</v>
      </c>
      <c r="D72">
        <v>113642</v>
      </c>
      <c r="E72">
        <v>197.64389302794899</v>
      </c>
      <c r="F72">
        <v>-45.984784446322898</v>
      </c>
      <c r="G72">
        <v>13.85</v>
      </c>
      <c r="H72">
        <v>27.816598242156001</v>
      </c>
      <c r="I72">
        <v>113642</v>
      </c>
      <c r="J72">
        <v>1293235</v>
      </c>
      <c r="K72" s="1">
        <f t="shared" si="7"/>
        <v>8.7874206930681584E-2</v>
      </c>
      <c r="L72" s="1">
        <f t="shared" si="8"/>
        <v>0.22716259775114242</v>
      </c>
      <c r="M72" s="1">
        <f t="shared" si="9"/>
        <v>0.56695782053416899</v>
      </c>
      <c r="N72" s="1">
        <f t="shared" si="10"/>
        <v>0.73641663265199186</v>
      </c>
      <c r="O72" s="1">
        <f t="shared" si="11"/>
        <v>0.94630192502532917</v>
      </c>
      <c r="P72" s="1">
        <f t="shared" si="12"/>
        <v>0.14762959905774073</v>
      </c>
      <c r="Q72">
        <f t="shared" si="13"/>
        <v>0.47792284328514745</v>
      </c>
    </row>
    <row r="73" spans="1:17" x14ac:dyDescent="0.3">
      <c r="A73" s="2" t="s">
        <v>52</v>
      </c>
      <c r="B73" s="2" t="s">
        <v>49</v>
      </c>
      <c r="C73">
        <v>3653916</v>
      </c>
      <c r="D73">
        <v>37750</v>
      </c>
      <c r="E73">
        <v>51.440189876332198</v>
      </c>
      <c r="F73">
        <v>-59.868977176669397</v>
      </c>
      <c r="G73">
        <v>-3.99</v>
      </c>
      <c r="H73">
        <v>3.9685501598458401</v>
      </c>
      <c r="I73">
        <v>37750</v>
      </c>
      <c r="J73">
        <v>3691666</v>
      </c>
      <c r="K73" s="1">
        <f t="shared" si="7"/>
        <v>1.0225735480945458E-2</v>
      </c>
      <c r="L73" s="1">
        <f t="shared" si="8"/>
        <v>0.72962778769332182</v>
      </c>
      <c r="M73" s="1">
        <f t="shared" si="9"/>
        <v>0.18400722586374807</v>
      </c>
      <c r="N73" s="1">
        <f t="shared" si="10"/>
        <v>0</v>
      </c>
      <c r="O73" s="1">
        <f t="shared" si="11"/>
        <v>4.2553191489361687E-2</v>
      </c>
      <c r="P73" s="1">
        <f t="shared" si="12"/>
        <v>0.10786330215017817</v>
      </c>
      <c r="Q73">
        <f t="shared" si="13"/>
        <v>0.31641318152255365</v>
      </c>
    </row>
    <row r="74" spans="1:17" x14ac:dyDescent="0.3">
      <c r="A74" s="2" t="s">
        <v>53</v>
      </c>
      <c r="B74" s="2" t="s">
        <v>14</v>
      </c>
      <c r="C74">
        <v>3790213</v>
      </c>
      <c r="D74">
        <v>113374</v>
      </c>
      <c r="E74">
        <v>83.845960138713394</v>
      </c>
      <c r="F74">
        <v>-3.7352941176470602</v>
      </c>
      <c r="G74">
        <v>3.44</v>
      </c>
      <c r="H74">
        <v>10.6863123743875</v>
      </c>
      <c r="I74">
        <v>113374</v>
      </c>
      <c r="J74">
        <v>3903587</v>
      </c>
      <c r="K74" s="1">
        <f t="shared" si="7"/>
        <v>2.9043543797025659E-2</v>
      </c>
      <c r="L74" s="1">
        <f t="shared" si="8"/>
        <v>0.75730586286521695</v>
      </c>
      <c r="M74" s="1">
        <f t="shared" si="9"/>
        <v>0.56560549407852578</v>
      </c>
      <c r="N74" s="1">
        <f t="shared" si="10"/>
        <v>0.16322533356333058</v>
      </c>
      <c r="O74" s="1">
        <f t="shared" si="11"/>
        <v>0.41894630192502524</v>
      </c>
      <c r="P74" s="1">
        <f t="shared" si="12"/>
        <v>0.2686381307911796</v>
      </c>
      <c r="Q74">
        <f t="shared" si="13"/>
        <v>0.50786193550674397</v>
      </c>
    </row>
    <row r="75" spans="1:17" x14ac:dyDescent="0.3">
      <c r="A75" s="2" t="s">
        <v>53</v>
      </c>
      <c r="B75" s="2" t="s">
        <v>15</v>
      </c>
      <c r="C75">
        <v>1669814</v>
      </c>
      <c r="D75">
        <v>54563</v>
      </c>
      <c r="E75">
        <v>67.792599878100901</v>
      </c>
      <c r="F75">
        <v>-65.617647058823493</v>
      </c>
      <c r="G75">
        <v>-2.3199999999999998</v>
      </c>
      <c r="H75">
        <v>11.5595535325565</v>
      </c>
      <c r="I75">
        <v>54563</v>
      </c>
      <c r="J75">
        <v>1724377</v>
      </c>
      <c r="K75" s="1">
        <f t="shared" si="7"/>
        <v>3.164215249913447E-2</v>
      </c>
      <c r="L75" s="1">
        <f t="shared" si="8"/>
        <v>0.3267126515956264</v>
      </c>
      <c r="M75" s="1">
        <f t="shared" si="9"/>
        <v>0.26884552697840819</v>
      </c>
      <c r="N75" s="1">
        <f t="shared" si="10"/>
        <v>8.2365811875224668E-2</v>
      </c>
      <c r="O75" s="1">
        <f t="shared" si="11"/>
        <v>0.1271529888551165</v>
      </c>
      <c r="P75" s="1">
        <f t="shared" si="12"/>
        <v>9.1398296384474054E-2</v>
      </c>
      <c r="Q75">
        <f t="shared" si="13"/>
        <v>0.21988910070207524</v>
      </c>
    </row>
    <row r="76" spans="1:17" x14ac:dyDescent="0.3">
      <c r="A76" s="2" t="s">
        <v>53</v>
      </c>
      <c r="B76" s="2" t="s">
        <v>16</v>
      </c>
      <c r="C76">
        <v>2202360</v>
      </c>
      <c r="D76">
        <v>134305</v>
      </c>
      <c r="E76">
        <v>117.218343237049</v>
      </c>
      <c r="F76">
        <v>-19.4411764705882</v>
      </c>
      <c r="G76">
        <v>13.56</v>
      </c>
      <c r="H76">
        <v>19.609575190357599</v>
      </c>
      <c r="I76">
        <v>134305</v>
      </c>
      <c r="J76">
        <v>2336665</v>
      </c>
      <c r="K76" s="1">
        <f t="shared" si="7"/>
        <v>5.7477216460211457E-2</v>
      </c>
      <c r="L76" s="1">
        <f t="shared" si="8"/>
        <v>0.43485771876872703</v>
      </c>
      <c r="M76" s="1">
        <f t="shared" si="9"/>
        <v>0.67122319946310627</v>
      </c>
      <c r="N76" s="1">
        <f t="shared" si="10"/>
        <v>0.33131942047823359</v>
      </c>
      <c r="O76" s="1">
        <f t="shared" si="11"/>
        <v>0.93161094224924001</v>
      </c>
      <c r="P76" s="1">
        <f t="shared" si="12"/>
        <v>0.22365425646932569</v>
      </c>
      <c r="Q76">
        <f t="shared" si="13"/>
        <v>0.50179640540233439</v>
      </c>
    </row>
    <row r="77" spans="1:17" x14ac:dyDescent="0.3">
      <c r="A77" s="2" t="s">
        <v>53</v>
      </c>
      <c r="B77" s="2" t="s">
        <v>17</v>
      </c>
      <c r="C77">
        <v>922917</v>
      </c>
      <c r="D77">
        <v>132463</v>
      </c>
      <c r="E77">
        <v>195.379863177244</v>
      </c>
      <c r="F77">
        <v>-39.352941176470502</v>
      </c>
      <c r="G77">
        <v>8.77</v>
      </c>
      <c r="H77">
        <v>36.471868548957197</v>
      </c>
      <c r="I77">
        <v>132463</v>
      </c>
      <c r="J77">
        <v>1055380</v>
      </c>
      <c r="K77" s="1">
        <f t="shared" si="7"/>
        <v>0.12551213780818282</v>
      </c>
      <c r="L77" s="1">
        <f t="shared" si="8"/>
        <v>0.17503894409169748</v>
      </c>
      <c r="M77" s="1">
        <f t="shared" si="9"/>
        <v>0.66192847807767807</v>
      </c>
      <c r="N77" s="1">
        <f t="shared" si="10"/>
        <v>0.72501289113970779</v>
      </c>
      <c r="O77" s="1">
        <f t="shared" si="11"/>
        <v>0.68895643363728465</v>
      </c>
      <c r="P77" s="1">
        <f t="shared" si="12"/>
        <v>0.16662413864929745</v>
      </c>
      <c r="Q77">
        <f t="shared" si="13"/>
        <v>0.45730638540811341</v>
      </c>
    </row>
    <row r="78" spans="1:17" x14ac:dyDescent="0.3">
      <c r="A78" s="2" t="s">
        <v>53</v>
      </c>
      <c r="B78" s="2" t="s">
        <v>18</v>
      </c>
      <c r="C78">
        <v>2634151</v>
      </c>
      <c r="D78">
        <v>183852</v>
      </c>
      <c r="E78">
        <v>147.30289499336899</v>
      </c>
      <c r="F78">
        <v>22.088235294117599</v>
      </c>
      <c r="G78">
        <v>14.89</v>
      </c>
      <c r="H78">
        <v>21.8250518836441</v>
      </c>
      <c r="I78">
        <v>183852</v>
      </c>
      <c r="J78">
        <v>2818003</v>
      </c>
      <c r="K78" s="1">
        <f t="shared" si="7"/>
        <v>6.5241946158325598E-2</v>
      </c>
      <c r="L78" s="1">
        <f t="shared" si="8"/>
        <v>0.52254228817632808</v>
      </c>
      <c r="M78" s="1">
        <f t="shared" si="9"/>
        <v>0.92123707594725923</v>
      </c>
      <c r="N78" s="1">
        <f t="shared" si="10"/>
        <v>0.48285295773931591</v>
      </c>
      <c r="O78" s="1">
        <f t="shared" si="11"/>
        <v>0.99898682877406264</v>
      </c>
      <c r="P78" s="1">
        <f t="shared" si="12"/>
        <v>0.3426003810806697</v>
      </c>
      <c r="Q78">
        <f t="shared" si="13"/>
        <v>0.64392838238186612</v>
      </c>
    </row>
    <row r="79" spans="1:17" x14ac:dyDescent="0.3">
      <c r="A79" s="2" t="s">
        <v>53</v>
      </c>
      <c r="B79" s="2" t="s">
        <v>19</v>
      </c>
      <c r="C79">
        <v>2265770</v>
      </c>
      <c r="D79">
        <v>94052</v>
      </c>
      <c r="E79">
        <v>110.135425468531</v>
      </c>
      <c r="F79">
        <v>-23.558823529411701</v>
      </c>
      <c r="G79">
        <v>10.199999999999999</v>
      </c>
      <c r="H79">
        <v>14.239634092335301</v>
      </c>
      <c r="I79">
        <v>94052</v>
      </c>
      <c r="J79">
        <v>2359822</v>
      </c>
      <c r="K79" s="1">
        <f t="shared" si="7"/>
        <v>3.9855548426957627E-2</v>
      </c>
      <c r="L79" s="1">
        <f t="shared" si="8"/>
        <v>0.44773450069826232</v>
      </c>
      <c r="M79" s="1">
        <f t="shared" si="9"/>
        <v>0.46810679342204192</v>
      </c>
      <c r="N79" s="1">
        <f t="shared" si="10"/>
        <v>0.29564331693225232</v>
      </c>
      <c r="O79" s="1">
        <f t="shared" si="11"/>
        <v>0.76139817629179318</v>
      </c>
      <c r="P79" s="1">
        <f t="shared" si="12"/>
        <v>0.211860731366218</v>
      </c>
      <c r="Q79">
        <f t="shared" si="13"/>
        <v>0.43018832775215388</v>
      </c>
    </row>
    <row r="80" spans="1:17" x14ac:dyDescent="0.3">
      <c r="A80" s="2" t="s">
        <v>53</v>
      </c>
      <c r="B80" s="2" t="s">
        <v>20</v>
      </c>
      <c r="C80">
        <v>4487952</v>
      </c>
      <c r="D80">
        <v>145546</v>
      </c>
      <c r="E80">
        <v>236.36570038446101</v>
      </c>
      <c r="F80">
        <v>222.117647058823</v>
      </c>
      <c r="G80">
        <v>3.64</v>
      </c>
      <c r="H80">
        <v>11.482611117334899</v>
      </c>
      <c r="I80">
        <v>145546</v>
      </c>
      <c r="J80">
        <v>4633498</v>
      </c>
      <c r="K80" s="1">
        <f t="shared" si="7"/>
        <v>3.1411689397513501E-2</v>
      </c>
      <c r="L80" s="1">
        <f t="shared" si="8"/>
        <v>0.89899696752902458</v>
      </c>
      <c r="M80" s="1">
        <f t="shared" si="9"/>
        <v>0.72794522068655798</v>
      </c>
      <c r="N80" s="1">
        <f t="shared" si="10"/>
        <v>0.93145535170625937</v>
      </c>
      <c r="O80" s="1">
        <f t="shared" si="11"/>
        <v>0.42907801418439717</v>
      </c>
      <c r="P80" s="1">
        <f t="shared" si="12"/>
        <v>0.91551298269664028</v>
      </c>
      <c r="Q80">
        <f t="shared" si="13"/>
        <v>0.81738541383615371</v>
      </c>
    </row>
    <row r="81" spans="1:17" x14ac:dyDescent="0.3">
      <c r="A81" s="2" t="s">
        <v>53</v>
      </c>
      <c r="B81" s="2" t="s">
        <v>21</v>
      </c>
      <c r="C81">
        <v>2949565</v>
      </c>
      <c r="D81">
        <v>118343</v>
      </c>
      <c r="E81">
        <v>67.244519718322707</v>
      </c>
      <c r="F81">
        <v>-39.323529411764703</v>
      </c>
      <c r="G81">
        <v>10.09</v>
      </c>
      <c r="H81">
        <v>13.8294102403871</v>
      </c>
      <c r="I81">
        <v>118343</v>
      </c>
      <c r="J81">
        <v>3067908</v>
      </c>
      <c r="K81" s="1">
        <f t="shared" si="7"/>
        <v>3.8574494411175303E-2</v>
      </c>
      <c r="L81" s="1">
        <f t="shared" si="8"/>
        <v>0.58659397238264332</v>
      </c>
      <c r="M81" s="1">
        <f t="shared" si="9"/>
        <v>0.59067903944453692</v>
      </c>
      <c r="N81" s="1">
        <f t="shared" si="10"/>
        <v>7.9605174921530922E-2</v>
      </c>
      <c r="O81" s="1">
        <f t="shared" si="11"/>
        <v>0.75582573454913871</v>
      </c>
      <c r="P81" s="1">
        <f t="shared" si="12"/>
        <v>0.16670837811431941</v>
      </c>
      <c r="Q81">
        <f t="shared" si="13"/>
        <v>0.46115209644571137</v>
      </c>
    </row>
    <row r="82" spans="1:17" x14ac:dyDescent="0.3">
      <c r="A82" s="2" t="s">
        <v>53</v>
      </c>
      <c r="B82" s="2" t="s">
        <v>22</v>
      </c>
      <c r="C82">
        <v>2207570</v>
      </c>
      <c r="D82">
        <v>97266</v>
      </c>
      <c r="E82">
        <v>118.403218276701</v>
      </c>
      <c r="F82">
        <v>-19.735294117647001</v>
      </c>
      <c r="G82">
        <v>10.52</v>
      </c>
      <c r="H82">
        <v>14.983397737224401</v>
      </c>
      <c r="I82">
        <v>97266</v>
      </c>
      <c r="J82">
        <v>2304836</v>
      </c>
      <c r="K82" s="1">
        <f t="shared" si="7"/>
        <v>4.2200833378166602E-2</v>
      </c>
      <c r="L82" s="1">
        <f t="shared" si="8"/>
        <v>0.43591572277208424</v>
      </c>
      <c r="M82" s="1">
        <f t="shared" si="9"/>
        <v>0.4843246189012852</v>
      </c>
      <c r="N82" s="1">
        <f t="shared" si="10"/>
        <v>0.33728754350114398</v>
      </c>
      <c r="O82" s="1">
        <f t="shared" si="11"/>
        <v>0.77760891590678816</v>
      </c>
      <c r="P82" s="1">
        <f t="shared" si="12"/>
        <v>0.22281186181910376</v>
      </c>
      <c r="Q82">
        <f t="shared" si="13"/>
        <v>0.44115124416836882</v>
      </c>
    </row>
    <row r="83" spans="1:17" x14ac:dyDescent="0.3">
      <c r="A83" s="2" t="s">
        <v>53</v>
      </c>
      <c r="B83" s="2" t="s">
        <v>23</v>
      </c>
      <c r="C83">
        <v>2392705</v>
      </c>
      <c r="D83">
        <v>105884</v>
      </c>
      <c r="E83">
        <v>63.0355772798167</v>
      </c>
      <c r="F83">
        <v>-53.676470588235198</v>
      </c>
      <c r="G83">
        <v>0.22</v>
      </c>
      <c r="H83">
        <v>15.0390538309754</v>
      </c>
      <c r="I83">
        <v>105884</v>
      </c>
      <c r="J83">
        <v>2498589</v>
      </c>
      <c r="K83" s="1">
        <f t="shared" si="7"/>
        <v>4.2377517871086443E-2</v>
      </c>
      <c r="L83" s="1">
        <f t="shared" si="8"/>
        <v>0.47351141781268535</v>
      </c>
      <c r="M83" s="1">
        <f t="shared" si="9"/>
        <v>0.52781099723984115</v>
      </c>
      <c r="N83" s="1">
        <f t="shared" si="10"/>
        <v>5.8405060623629983E-2</v>
      </c>
      <c r="O83" s="1">
        <f t="shared" si="11"/>
        <v>0.25582573454913876</v>
      </c>
      <c r="P83" s="1">
        <f t="shared" si="12"/>
        <v>0.1255995191834868</v>
      </c>
      <c r="Q83">
        <f t="shared" si="13"/>
        <v>0.34750528304238876</v>
      </c>
    </row>
    <row r="84" spans="1:17" x14ac:dyDescent="0.3">
      <c r="A84" s="2" t="s">
        <v>53</v>
      </c>
      <c r="B84" s="2" t="s">
        <v>24</v>
      </c>
      <c r="C84">
        <v>4634597</v>
      </c>
      <c r="D84">
        <v>9691</v>
      </c>
      <c r="E84">
        <v>124.174039163807</v>
      </c>
      <c r="F84">
        <v>69.617647058823493</v>
      </c>
      <c r="G84">
        <v>5.71</v>
      </c>
      <c r="H84">
        <v>0.82946727205537896</v>
      </c>
      <c r="I84">
        <v>9691</v>
      </c>
      <c r="J84">
        <v>4644288</v>
      </c>
      <c r="K84" s="1">
        <f t="shared" si="7"/>
        <v>2.0866492345005304E-3</v>
      </c>
      <c r="L84" s="1">
        <f t="shared" si="8"/>
        <v>0.92877642953906558</v>
      </c>
      <c r="M84" s="1">
        <f t="shared" si="9"/>
        <v>4.2421673554448799E-2</v>
      </c>
      <c r="N84" s="1">
        <f t="shared" si="10"/>
        <v>0.36635471754469956</v>
      </c>
      <c r="O84" s="1">
        <f t="shared" si="11"/>
        <v>0.53394123606889554</v>
      </c>
      <c r="P84" s="1">
        <f t="shared" si="12"/>
        <v>0.47873135655654253</v>
      </c>
      <c r="Q84">
        <f t="shared" si="13"/>
        <v>0.51021537149876883</v>
      </c>
    </row>
    <row r="85" spans="1:17" x14ac:dyDescent="0.3">
      <c r="A85" s="2" t="s">
        <v>53</v>
      </c>
      <c r="B85" s="2" t="s">
        <v>25</v>
      </c>
      <c r="C85">
        <v>1954299</v>
      </c>
      <c r="D85">
        <v>16539</v>
      </c>
      <c r="E85">
        <v>87.323260460778599</v>
      </c>
      <c r="F85">
        <v>-49.3823529411764</v>
      </c>
      <c r="G85">
        <v>-0.03</v>
      </c>
      <c r="H85">
        <v>3.27431197428302</v>
      </c>
      <c r="I85">
        <v>16539</v>
      </c>
      <c r="J85">
        <v>1970838</v>
      </c>
      <c r="K85" s="1">
        <f t="shared" si="7"/>
        <v>8.3918617359722107E-3</v>
      </c>
      <c r="L85" s="1">
        <f t="shared" si="8"/>
        <v>0.38448352854285639</v>
      </c>
      <c r="M85" s="1">
        <f t="shared" si="9"/>
        <v>7.6976642092674727E-2</v>
      </c>
      <c r="N85" s="1">
        <f t="shared" si="10"/>
        <v>0.1807402236700428</v>
      </c>
      <c r="O85" s="1">
        <f t="shared" si="11"/>
        <v>0.24316109422492399</v>
      </c>
      <c r="P85" s="1">
        <f t="shared" si="12"/>
        <v>0.13789848107672772</v>
      </c>
      <c r="Q85">
        <f t="shared" si="13"/>
        <v>0.22806739777734217</v>
      </c>
    </row>
    <row r="86" spans="1:17" x14ac:dyDescent="0.3">
      <c r="A86" s="2" t="s">
        <v>53</v>
      </c>
      <c r="B86" s="2" t="s">
        <v>26</v>
      </c>
      <c r="C86">
        <v>2585113</v>
      </c>
      <c r="D86">
        <v>121844</v>
      </c>
      <c r="E86">
        <v>119.76547835817099</v>
      </c>
      <c r="F86">
        <v>-13.502456811259</v>
      </c>
      <c r="G86">
        <v>11.03</v>
      </c>
      <c r="H86">
        <v>15.862579166272001</v>
      </c>
      <c r="I86">
        <v>121844</v>
      </c>
      <c r="J86">
        <v>2706957</v>
      </c>
      <c r="K86" s="1">
        <f t="shared" si="7"/>
        <v>4.5011427961360304E-2</v>
      </c>
      <c r="L86" s="1">
        <f t="shared" si="8"/>
        <v>0.51258405395048745</v>
      </c>
      <c r="M86" s="1">
        <f t="shared" si="9"/>
        <v>0.60834506526993548</v>
      </c>
      <c r="N86" s="1">
        <f t="shared" si="10"/>
        <v>0.34414914112396228</v>
      </c>
      <c r="O86" s="1">
        <f t="shared" si="11"/>
        <v>0.80344478216818627</v>
      </c>
      <c r="P86" s="1">
        <f t="shared" si="12"/>
        <v>0.24066359174796165</v>
      </c>
      <c r="Q86">
        <f t="shared" si="13"/>
        <v>0.50473135081656173</v>
      </c>
    </row>
    <row r="87" spans="1:17" x14ac:dyDescent="0.3">
      <c r="A87" s="2" t="s">
        <v>53</v>
      </c>
      <c r="B87" s="2" t="s">
        <v>27</v>
      </c>
      <c r="C87">
        <v>4823773</v>
      </c>
      <c r="D87">
        <v>121263</v>
      </c>
      <c r="E87">
        <v>54.984432873693898</v>
      </c>
      <c r="F87">
        <v>-27.456255419436498</v>
      </c>
      <c r="G87">
        <v>-4.21</v>
      </c>
      <c r="H87">
        <v>9.1367110424623093</v>
      </c>
      <c r="I87">
        <v>121263</v>
      </c>
      <c r="J87">
        <v>4945036</v>
      </c>
      <c r="K87" s="1">
        <f t="shared" si="7"/>
        <v>2.4522167280480869E-2</v>
      </c>
      <c r="L87" s="1">
        <f t="shared" si="8"/>
        <v>0.96719273766557201</v>
      </c>
      <c r="M87" s="1">
        <f t="shared" si="9"/>
        <v>0.60541334261796276</v>
      </c>
      <c r="N87" s="1">
        <f t="shared" si="10"/>
        <v>1.7852075133218966E-2</v>
      </c>
      <c r="O87" s="1">
        <f t="shared" si="11"/>
        <v>3.1408308004052685E-2</v>
      </c>
      <c r="P87" s="1">
        <f t="shared" si="12"/>
        <v>0.20069793373542905</v>
      </c>
      <c r="Q87">
        <f t="shared" si="13"/>
        <v>0.51665183303803286</v>
      </c>
    </row>
    <row r="88" spans="1:17" x14ac:dyDescent="0.3">
      <c r="A88" s="2" t="s">
        <v>53</v>
      </c>
      <c r="B88" s="2" t="s">
        <v>28</v>
      </c>
      <c r="C88">
        <v>3491891</v>
      </c>
      <c r="D88">
        <v>111057</v>
      </c>
      <c r="E88">
        <v>212.65918908627</v>
      </c>
      <c r="F88">
        <v>104.424483624963</v>
      </c>
      <c r="G88">
        <v>0.87</v>
      </c>
      <c r="H88">
        <v>11.285939271653101</v>
      </c>
      <c r="I88">
        <v>111057</v>
      </c>
      <c r="J88">
        <v>3602948</v>
      </c>
      <c r="K88" s="1">
        <f t="shared" si="7"/>
        <v>3.0823925296729233E-2</v>
      </c>
      <c r="L88" s="1">
        <f t="shared" si="8"/>
        <v>0.69672508161962743</v>
      </c>
      <c r="M88" s="1">
        <f t="shared" si="9"/>
        <v>0.55391392543029716</v>
      </c>
      <c r="N88" s="1">
        <f t="shared" si="10"/>
        <v>0.81204750603742581</v>
      </c>
      <c r="O88" s="1">
        <f t="shared" si="11"/>
        <v>0.28875379939209722</v>
      </c>
      <c r="P88" s="1">
        <f t="shared" si="12"/>
        <v>0.57842307246572988</v>
      </c>
      <c r="Q88">
        <f t="shared" si="13"/>
        <v>0.63145944831771184</v>
      </c>
    </row>
    <row r="89" spans="1:17" x14ac:dyDescent="0.3">
      <c r="A89" s="2" t="s">
        <v>53</v>
      </c>
      <c r="B89" s="2" t="s">
        <v>29</v>
      </c>
      <c r="C89">
        <v>901991</v>
      </c>
      <c r="D89">
        <v>37619</v>
      </c>
      <c r="E89">
        <v>123.136194804227</v>
      </c>
      <c r="F89">
        <v>-69.130889121106307</v>
      </c>
      <c r="G89">
        <v>-3.01</v>
      </c>
      <c r="H89">
        <v>14.297455407152899</v>
      </c>
      <c r="I89">
        <v>37619</v>
      </c>
      <c r="J89">
        <v>939610</v>
      </c>
      <c r="K89" s="1">
        <f t="shared" si="7"/>
        <v>4.0036823788593141E-2</v>
      </c>
      <c r="L89" s="1">
        <f t="shared" si="8"/>
        <v>0.17078946390470084</v>
      </c>
      <c r="M89" s="1">
        <f t="shared" si="9"/>
        <v>0.1833462006186389</v>
      </c>
      <c r="N89" s="1">
        <f t="shared" si="10"/>
        <v>0.36112717657259313</v>
      </c>
      <c r="O89" s="1">
        <f t="shared" si="11"/>
        <v>9.2198581560283696E-2</v>
      </c>
      <c r="P89" s="1">
        <f t="shared" si="12"/>
        <v>8.1335872902587605E-2</v>
      </c>
      <c r="Q89">
        <f t="shared" si="13"/>
        <v>0.19519174328211078</v>
      </c>
    </row>
    <row r="90" spans="1:17" x14ac:dyDescent="0.3">
      <c r="A90" s="2" t="s">
        <v>53</v>
      </c>
      <c r="B90" s="2" t="s">
        <v>30</v>
      </c>
      <c r="C90">
        <v>3394939</v>
      </c>
      <c r="D90">
        <v>180280</v>
      </c>
      <c r="E90">
        <v>84.722082759125996</v>
      </c>
      <c r="F90">
        <v>-19.185361406941301</v>
      </c>
      <c r="G90">
        <v>8.75</v>
      </c>
      <c r="H90">
        <v>17.5196711223041</v>
      </c>
      <c r="I90">
        <v>180280</v>
      </c>
      <c r="J90">
        <v>3575219</v>
      </c>
      <c r="K90" s="1">
        <f t="shared" si="7"/>
        <v>5.042488306310746E-2</v>
      </c>
      <c r="L90" s="1">
        <f t="shared" si="8"/>
        <v>0.67703686585504286</v>
      </c>
      <c r="M90" s="1">
        <f t="shared" si="9"/>
        <v>0.90321278453100007</v>
      </c>
      <c r="N90" s="1">
        <f t="shared" si="10"/>
        <v>0.16763829476750342</v>
      </c>
      <c r="O90" s="1">
        <f t="shared" si="11"/>
        <v>0.6879432624113474</v>
      </c>
      <c r="P90" s="1">
        <f t="shared" si="12"/>
        <v>0.22438694708893767</v>
      </c>
      <c r="Q90">
        <f t="shared" si="13"/>
        <v>0.58752677908554418</v>
      </c>
    </row>
    <row r="91" spans="1:17" x14ac:dyDescent="0.3">
      <c r="A91" s="2" t="s">
        <v>53</v>
      </c>
      <c r="B91" s="2" t="s">
        <v>31</v>
      </c>
      <c r="C91">
        <v>3625433</v>
      </c>
      <c r="D91">
        <v>193461</v>
      </c>
      <c r="E91">
        <v>69.810788149657995</v>
      </c>
      <c r="F91">
        <v>-28.870311492540601</v>
      </c>
      <c r="G91">
        <v>13.02</v>
      </c>
      <c r="H91">
        <v>17.5902540349243</v>
      </c>
      <c r="I91">
        <v>193461</v>
      </c>
      <c r="J91">
        <v>3818894</v>
      </c>
      <c r="K91" s="1">
        <f t="shared" si="7"/>
        <v>5.0658908050341275E-2</v>
      </c>
      <c r="L91" s="1">
        <f t="shared" si="8"/>
        <v>0.72384369402199311</v>
      </c>
      <c r="M91" s="1">
        <f t="shared" si="9"/>
        <v>0.96972403457515255</v>
      </c>
      <c r="N91" s="1">
        <f t="shared" si="10"/>
        <v>9.2531268556281271E-2</v>
      </c>
      <c r="O91" s="1">
        <f t="shared" si="11"/>
        <v>0.9042553191489362</v>
      </c>
      <c r="P91" s="1">
        <f t="shared" si="12"/>
        <v>0.1966478766136999</v>
      </c>
      <c r="Q91">
        <f t="shared" si="13"/>
        <v>0.62437287483900572</v>
      </c>
    </row>
    <row r="92" spans="1:17" x14ac:dyDescent="0.3">
      <c r="A92" s="2" t="s">
        <v>53</v>
      </c>
      <c r="B92" s="2" t="s">
        <v>32</v>
      </c>
      <c r="C92">
        <v>1506117</v>
      </c>
      <c r="D92">
        <v>118791</v>
      </c>
      <c r="E92">
        <v>212.62742259869401</v>
      </c>
      <c r="F92">
        <v>-7.8195522155768398</v>
      </c>
      <c r="G92">
        <v>11.83</v>
      </c>
      <c r="H92">
        <v>23.9826657601824</v>
      </c>
      <c r="I92">
        <v>118791</v>
      </c>
      <c r="J92">
        <v>1624908</v>
      </c>
      <c r="K92" s="1">
        <f t="shared" si="7"/>
        <v>7.3106292787037785E-2</v>
      </c>
      <c r="L92" s="1">
        <f t="shared" si="8"/>
        <v>0.29347040949628656</v>
      </c>
      <c r="M92" s="1">
        <f t="shared" si="9"/>
        <v>0.59293964486292561</v>
      </c>
      <c r="N92" s="1">
        <f t="shared" si="10"/>
        <v>0.81188750072081872</v>
      </c>
      <c r="O92" s="1">
        <f t="shared" si="11"/>
        <v>0.84397163120567364</v>
      </c>
      <c r="P92" s="1">
        <f t="shared" si="12"/>
        <v>0.25694023640698527</v>
      </c>
      <c r="Q92">
        <f t="shared" si="13"/>
        <v>0.52341824144486138</v>
      </c>
    </row>
    <row r="93" spans="1:17" x14ac:dyDescent="0.3">
      <c r="A93" s="2" t="s">
        <v>53</v>
      </c>
      <c r="B93" s="2" t="s">
        <v>33</v>
      </c>
      <c r="C93">
        <v>2677221</v>
      </c>
      <c r="D93">
        <v>57757</v>
      </c>
      <c r="E93">
        <v>122.52383748607799</v>
      </c>
      <c r="F93">
        <v>-10.5943037552526</v>
      </c>
      <c r="G93">
        <v>9.8800000000000008</v>
      </c>
      <c r="H93">
        <v>7.9438865104053997</v>
      </c>
      <c r="I93">
        <v>57757</v>
      </c>
      <c r="J93">
        <v>2734978</v>
      </c>
      <c r="K93" s="1">
        <f t="shared" si="7"/>
        <v>2.1117902959365671E-2</v>
      </c>
      <c r="L93" s="1">
        <f t="shared" si="8"/>
        <v>0.53128858998527118</v>
      </c>
      <c r="M93" s="1">
        <f t="shared" si="9"/>
        <v>0.28496243257290199</v>
      </c>
      <c r="N93" s="1">
        <f t="shared" si="10"/>
        <v>0.35804278059294103</v>
      </c>
      <c r="O93" s="1">
        <f t="shared" si="11"/>
        <v>0.74518743667679832</v>
      </c>
      <c r="P93" s="1">
        <f t="shared" si="12"/>
        <v>0.24899295450774378</v>
      </c>
      <c r="Q93">
        <f t="shared" si="13"/>
        <v>0.42821820987511283</v>
      </c>
    </row>
    <row r="94" spans="1:17" x14ac:dyDescent="0.3">
      <c r="A94" s="2" t="s">
        <v>53</v>
      </c>
      <c r="B94" s="2" t="s">
        <v>34</v>
      </c>
      <c r="C94">
        <v>3454925</v>
      </c>
      <c r="D94">
        <v>104057</v>
      </c>
      <c r="E94">
        <v>73.166989886433797</v>
      </c>
      <c r="F94">
        <v>-30.524490295039602</v>
      </c>
      <c r="G94">
        <v>6.99</v>
      </c>
      <c r="H94">
        <v>10.7520420918522</v>
      </c>
      <c r="I94">
        <v>104057</v>
      </c>
      <c r="J94">
        <v>3558982</v>
      </c>
      <c r="K94" s="1">
        <f t="shared" si="7"/>
        <v>2.9237855094518601E-2</v>
      </c>
      <c r="L94" s="1">
        <f t="shared" si="8"/>
        <v>0.68921832999043331</v>
      </c>
      <c r="M94" s="1">
        <f t="shared" si="9"/>
        <v>0.51859196576797506</v>
      </c>
      <c r="N94" s="1">
        <f t="shared" si="10"/>
        <v>0.10943619454802672</v>
      </c>
      <c r="O94" s="1">
        <f t="shared" si="11"/>
        <v>0.59878419452887532</v>
      </c>
      <c r="P94" s="1">
        <f t="shared" si="12"/>
        <v>0.1919100739429983</v>
      </c>
      <c r="Q94">
        <f t="shared" si="13"/>
        <v>0.47183107269543811</v>
      </c>
    </row>
    <row r="95" spans="1:17" x14ac:dyDescent="0.3">
      <c r="A95" s="2" t="s">
        <v>53</v>
      </c>
      <c r="B95" s="2" t="s">
        <v>35</v>
      </c>
      <c r="C95">
        <v>1898964</v>
      </c>
      <c r="D95">
        <v>106786</v>
      </c>
      <c r="E95">
        <v>240.45868129128701</v>
      </c>
      <c r="F95">
        <v>28.679102652466799</v>
      </c>
      <c r="G95">
        <v>12.88</v>
      </c>
      <c r="H95">
        <v>18.3630338746094</v>
      </c>
      <c r="I95">
        <v>106786</v>
      </c>
      <c r="J95">
        <v>2005750</v>
      </c>
      <c r="K95" s="1">
        <f t="shared" si="7"/>
        <v>5.3239935186339273E-2</v>
      </c>
      <c r="L95" s="1">
        <f t="shared" si="8"/>
        <v>0.37324655128263184</v>
      </c>
      <c r="M95" s="1">
        <f t="shared" si="9"/>
        <v>0.53236248404204323</v>
      </c>
      <c r="N95" s="1">
        <f t="shared" si="10"/>
        <v>0.95207137682696352</v>
      </c>
      <c r="O95" s="1">
        <f t="shared" si="11"/>
        <v>0.89716312056737579</v>
      </c>
      <c r="P95" s="1">
        <f t="shared" si="12"/>
        <v>0.36147755985085633</v>
      </c>
      <c r="Q95">
        <f t="shared" si="13"/>
        <v>0.58000525736664788</v>
      </c>
    </row>
    <row r="96" spans="1:17" x14ac:dyDescent="0.3">
      <c r="A96" s="2" t="s">
        <v>53</v>
      </c>
      <c r="B96" s="2" t="s">
        <v>36</v>
      </c>
      <c r="C96">
        <v>3104142</v>
      </c>
      <c r="D96">
        <v>123956</v>
      </c>
      <c r="E96">
        <v>104.643663234511</v>
      </c>
      <c r="F96">
        <v>-9.8739355670675995</v>
      </c>
      <c r="G96">
        <v>-0.36</v>
      </c>
      <c r="H96">
        <v>13.773018967401301</v>
      </c>
      <c r="I96">
        <v>123956</v>
      </c>
      <c r="J96">
        <v>3228098</v>
      </c>
      <c r="K96" s="1">
        <f t="shared" si="7"/>
        <v>3.8399082060086159E-2</v>
      </c>
      <c r="L96" s="1">
        <f t="shared" si="8"/>
        <v>0.61798419979664387</v>
      </c>
      <c r="M96" s="1">
        <f t="shared" si="9"/>
        <v>0.61900220509948178</v>
      </c>
      <c r="N96" s="1">
        <f t="shared" si="10"/>
        <v>0.26798173952673049</v>
      </c>
      <c r="O96" s="1">
        <f t="shared" si="11"/>
        <v>0.22644376899696045</v>
      </c>
      <c r="P96" s="1">
        <f t="shared" si="12"/>
        <v>0.25105619115466205</v>
      </c>
      <c r="Q96">
        <f t="shared" si="13"/>
        <v>0.47239136512420415</v>
      </c>
    </row>
    <row r="97" spans="1:17" x14ac:dyDescent="0.3">
      <c r="A97" s="2" t="s">
        <v>53</v>
      </c>
      <c r="B97" s="2" t="s">
        <v>37</v>
      </c>
      <c r="C97">
        <v>3347331</v>
      </c>
      <c r="D97">
        <v>156396</v>
      </c>
      <c r="E97">
        <v>196.67628214184401</v>
      </c>
      <c r="F97">
        <v>83.853969806790104</v>
      </c>
      <c r="G97">
        <v>-4.2</v>
      </c>
      <c r="H97">
        <v>15.7462216030295</v>
      </c>
      <c r="I97">
        <v>156396</v>
      </c>
      <c r="J97">
        <v>3503727</v>
      </c>
      <c r="K97" s="1">
        <f t="shared" si="7"/>
        <v>4.4637039358374667E-2</v>
      </c>
      <c r="L97" s="1">
        <f t="shared" si="8"/>
        <v>0.66736902428271494</v>
      </c>
      <c r="M97" s="1">
        <f t="shared" si="9"/>
        <v>0.78269425816315719</v>
      </c>
      <c r="N97" s="1">
        <f t="shared" si="10"/>
        <v>0.73154285219976978</v>
      </c>
      <c r="O97" s="1">
        <f t="shared" si="11"/>
        <v>3.1914893617021267E-2</v>
      </c>
      <c r="P97" s="1">
        <f t="shared" si="12"/>
        <v>0.51950620377039258</v>
      </c>
      <c r="Q97">
        <f t="shared" si="13"/>
        <v>0.63070340321843477</v>
      </c>
    </row>
    <row r="98" spans="1:17" x14ac:dyDescent="0.3">
      <c r="A98" s="2" t="s">
        <v>53</v>
      </c>
      <c r="B98" s="2" t="s">
        <v>38</v>
      </c>
      <c r="C98">
        <v>3035642</v>
      </c>
      <c r="D98">
        <v>71873</v>
      </c>
      <c r="E98">
        <v>224.745495999214</v>
      </c>
      <c r="F98">
        <v>38.192131385416999</v>
      </c>
      <c r="G98">
        <v>-4.47</v>
      </c>
      <c r="H98">
        <v>8.6512310367261698</v>
      </c>
      <c r="I98">
        <v>71873</v>
      </c>
      <c r="J98">
        <v>3107515</v>
      </c>
      <c r="K98" s="1">
        <f t="shared" si="7"/>
        <v>2.3128770094432368E-2</v>
      </c>
      <c r="L98" s="1">
        <f t="shared" si="8"/>
        <v>0.60407378247803223</v>
      </c>
      <c r="M98" s="1">
        <f t="shared" si="9"/>
        <v>0.35619168722909317</v>
      </c>
      <c r="N98" s="1">
        <f t="shared" si="10"/>
        <v>0.87292528988397178</v>
      </c>
      <c r="O98" s="1">
        <f t="shared" si="11"/>
        <v>1.8237082066869314E-2</v>
      </c>
      <c r="P98" s="1">
        <f t="shared" si="12"/>
        <v>0.38872422319181033</v>
      </c>
      <c r="Q98">
        <f t="shared" si="13"/>
        <v>0.51575493417724694</v>
      </c>
    </row>
    <row r="99" spans="1:17" x14ac:dyDescent="0.3">
      <c r="A99" s="2" t="s">
        <v>53</v>
      </c>
      <c r="B99" s="2" t="s">
        <v>39</v>
      </c>
      <c r="C99">
        <v>2561175</v>
      </c>
      <c r="D99">
        <v>147583</v>
      </c>
      <c r="E99">
        <v>173.76967599172701</v>
      </c>
      <c r="F99">
        <v>-6.86277742967384</v>
      </c>
      <c r="G99">
        <v>8.0500000000000007</v>
      </c>
      <c r="H99">
        <v>18.731736911896402</v>
      </c>
      <c r="I99">
        <v>147583</v>
      </c>
      <c r="J99">
        <v>2708758</v>
      </c>
      <c r="K99" s="1">
        <f t="shared" si="7"/>
        <v>5.4483641580384809E-2</v>
      </c>
      <c r="L99" s="1">
        <f t="shared" si="8"/>
        <v>0.50772292154504328</v>
      </c>
      <c r="M99" s="1">
        <f t="shared" si="9"/>
        <v>0.73822391094829365</v>
      </c>
      <c r="N99" s="1">
        <f t="shared" si="10"/>
        <v>0.61616406628036524</v>
      </c>
      <c r="O99" s="1">
        <f t="shared" si="11"/>
        <v>0.65248226950354604</v>
      </c>
      <c r="P99" s="1">
        <f t="shared" si="12"/>
        <v>0.25968057507476594</v>
      </c>
      <c r="Q99">
        <f t="shared" si="13"/>
        <v>0.57670809799174272</v>
      </c>
    </row>
    <row r="100" spans="1:17" x14ac:dyDescent="0.3">
      <c r="A100" s="2" t="s">
        <v>53</v>
      </c>
      <c r="B100" s="2" t="s">
        <v>40</v>
      </c>
      <c r="C100">
        <v>2791919</v>
      </c>
      <c r="D100">
        <v>14374</v>
      </c>
      <c r="E100">
        <v>114.35014091543501</v>
      </c>
      <c r="F100">
        <v>-36.503644098538999</v>
      </c>
      <c r="G100">
        <v>13.59</v>
      </c>
      <c r="H100">
        <v>2.0178176924035198</v>
      </c>
      <c r="I100">
        <v>14374</v>
      </c>
      <c r="J100">
        <v>2806293</v>
      </c>
      <c r="K100" s="1">
        <f t="shared" si="7"/>
        <v>5.1220595996212797E-3</v>
      </c>
      <c r="L100" s="1">
        <f t="shared" si="8"/>
        <v>0.55458051765841176</v>
      </c>
      <c r="M100" s="1">
        <f t="shared" si="9"/>
        <v>6.6052064568542262E-2</v>
      </c>
      <c r="N100" s="1">
        <f t="shared" si="10"/>
        <v>0.31687250942251838</v>
      </c>
      <c r="O100" s="1">
        <f t="shared" si="11"/>
        <v>0.93313069908814594</v>
      </c>
      <c r="P100" s="1">
        <f t="shared" si="12"/>
        <v>0.17478492954146241</v>
      </c>
      <c r="Q100">
        <f t="shared" si="13"/>
        <v>0.38478226207004418</v>
      </c>
    </row>
    <row r="101" spans="1:17" x14ac:dyDescent="0.3">
      <c r="A101" s="2" t="s">
        <v>53</v>
      </c>
      <c r="B101" s="2" t="s">
        <v>41</v>
      </c>
      <c r="C101">
        <v>4663163</v>
      </c>
      <c r="D101">
        <v>77883</v>
      </c>
      <c r="E101">
        <v>66.841789765380895</v>
      </c>
      <c r="F101">
        <v>-37.295122514263099</v>
      </c>
      <c r="G101">
        <v>13.29</v>
      </c>
      <c r="H101">
        <v>6.2623336707074397</v>
      </c>
      <c r="I101">
        <v>77883</v>
      </c>
      <c r="J101">
        <v>4741046</v>
      </c>
      <c r="K101" s="1">
        <f t="shared" si="7"/>
        <v>1.6427387542749004E-2</v>
      </c>
      <c r="L101" s="1">
        <f t="shared" si="8"/>
        <v>0.9345773781686052</v>
      </c>
      <c r="M101" s="1">
        <f t="shared" si="9"/>
        <v>0.38651811259631541</v>
      </c>
      <c r="N101" s="1">
        <f t="shared" si="10"/>
        <v>7.7576655606216821E-2</v>
      </c>
      <c r="O101" s="1">
        <f t="shared" si="11"/>
        <v>0.91793313069908788</v>
      </c>
      <c r="P101" s="1">
        <f t="shared" si="12"/>
        <v>0.17251802311867709</v>
      </c>
      <c r="Q101">
        <f t="shared" si="13"/>
        <v>0.5482920570111105</v>
      </c>
    </row>
    <row r="102" spans="1:17" x14ac:dyDescent="0.3">
      <c r="A102" s="2" t="s">
        <v>53</v>
      </c>
      <c r="B102" s="2" t="s">
        <v>42</v>
      </c>
      <c r="C102">
        <v>984201</v>
      </c>
      <c r="D102">
        <v>139369</v>
      </c>
      <c r="E102">
        <v>86.509963776177699</v>
      </c>
      <c r="F102">
        <v>-80.767074497905796</v>
      </c>
      <c r="G102">
        <v>6.98</v>
      </c>
      <c r="H102">
        <v>36.160363033242298</v>
      </c>
      <c r="I102">
        <v>139369</v>
      </c>
      <c r="J102">
        <v>1123570</v>
      </c>
      <c r="K102" s="1">
        <f t="shared" si="7"/>
        <v>0.1240412257358242</v>
      </c>
      <c r="L102" s="1">
        <f t="shared" si="8"/>
        <v>0.18748399540489163</v>
      </c>
      <c r="M102" s="1">
        <f t="shared" si="9"/>
        <v>0.69677611428167752</v>
      </c>
      <c r="N102" s="1">
        <f t="shared" si="10"/>
        <v>0.17664371179715457</v>
      </c>
      <c r="O102" s="1">
        <f t="shared" si="11"/>
        <v>0.59827760891590676</v>
      </c>
      <c r="P102" s="1">
        <f t="shared" si="12"/>
        <v>4.800818784720319E-2</v>
      </c>
      <c r="Q102">
        <f t="shared" si="13"/>
        <v>0.33977074899787341</v>
      </c>
    </row>
    <row r="103" spans="1:17" x14ac:dyDescent="0.3">
      <c r="A103" s="2" t="s">
        <v>53</v>
      </c>
      <c r="B103" s="2" t="s">
        <v>43</v>
      </c>
      <c r="C103">
        <v>4342936</v>
      </c>
      <c r="D103">
        <v>35407</v>
      </c>
      <c r="E103">
        <v>166.843940732829</v>
      </c>
      <c r="F103">
        <v>44.543745671602402</v>
      </c>
      <c r="G103">
        <v>12.59</v>
      </c>
      <c r="H103">
        <v>3.15812194897876</v>
      </c>
      <c r="I103">
        <v>35407</v>
      </c>
      <c r="J103">
        <v>4378343</v>
      </c>
      <c r="K103" s="1">
        <f t="shared" si="7"/>
        <v>8.0868492943563346E-3</v>
      </c>
      <c r="L103" s="1">
        <f t="shared" si="8"/>
        <v>0.869548309457845</v>
      </c>
      <c r="M103" s="1">
        <f t="shared" si="9"/>
        <v>0.17218446136534513</v>
      </c>
      <c r="N103" s="1">
        <f t="shared" si="10"/>
        <v>0.58127967875765119</v>
      </c>
      <c r="O103" s="1">
        <f t="shared" si="11"/>
        <v>0.88247213779128675</v>
      </c>
      <c r="P103" s="1">
        <f t="shared" si="12"/>
        <v>0.40691614723466107</v>
      </c>
      <c r="Q103">
        <f t="shared" si="13"/>
        <v>0.59258278790570706</v>
      </c>
    </row>
    <row r="104" spans="1:17" x14ac:dyDescent="0.3">
      <c r="A104" s="2" t="s">
        <v>53</v>
      </c>
      <c r="B104" s="2" t="s">
        <v>44</v>
      </c>
      <c r="C104">
        <v>3584152</v>
      </c>
      <c r="D104">
        <v>37412</v>
      </c>
      <c r="E104">
        <v>135.604396332634</v>
      </c>
      <c r="F104">
        <v>-2.82623750948125</v>
      </c>
      <c r="G104">
        <v>4.0599999999999996</v>
      </c>
      <c r="H104">
        <v>4.0079275804810104</v>
      </c>
      <c r="I104">
        <v>37412</v>
      </c>
      <c r="J104">
        <v>3621564</v>
      </c>
      <c r="K104" s="1">
        <f t="shared" si="7"/>
        <v>1.0330343464867666E-2</v>
      </c>
      <c r="L104" s="1">
        <f t="shared" si="8"/>
        <v>0.71546068763761916</v>
      </c>
      <c r="M104" s="1">
        <f t="shared" si="9"/>
        <v>0.18230167981148165</v>
      </c>
      <c r="N104" s="1">
        <f t="shared" si="10"/>
        <v>0.42392853376704226</v>
      </c>
      <c r="O104" s="1">
        <f t="shared" si="11"/>
        <v>0.450354609929078</v>
      </c>
      <c r="P104" s="1">
        <f t="shared" si="12"/>
        <v>0.27124179783097019</v>
      </c>
      <c r="Q104">
        <f t="shared" si="13"/>
        <v>0.45293200815545032</v>
      </c>
    </row>
    <row r="105" spans="1:17" x14ac:dyDescent="0.3">
      <c r="A105" s="2" t="s">
        <v>53</v>
      </c>
      <c r="B105" s="2" t="s">
        <v>45</v>
      </c>
      <c r="C105">
        <v>3369751</v>
      </c>
      <c r="D105">
        <v>42942</v>
      </c>
      <c r="E105">
        <v>59.864746111062402</v>
      </c>
      <c r="F105">
        <v>-59.575239916894702</v>
      </c>
      <c r="G105">
        <v>1.26</v>
      </c>
      <c r="H105">
        <v>4.8501222215665001</v>
      </c>
      <c r="I105">
        <v>42942</v>
      </c>
      <c r="J105">
        <v>3412693</v>
      </c>
      <c r="K105" s="1">
        <f t="shared" si="7"/>
        <v>1.2583024608425076E-2</v>
      </c>
      <c r="L105" s="1">
        <f t="shared" si="8"/>
        <v>0.67192189371750721</v>
      </c>
      <c r="M105" s="1">
        <f t="shared" si="9"/>
        <v>0.2102060279447161</v>
      </c>
      <c r="N105" s="1">
        <f t="shared" si="10"/>
        <v>4.243383170352176E-2</v>
      </c>
      <c r="O105" s="1">
        <f t="shared" si="11"/>
        <v>0.30851063829787229</v>
      </c>
      <c r="P105" s="1">
        <f t="shared" si="12"/>
        <v>0.10870460731727541</v>
      </c>
      <c r="Q105">
        <f t="shared" si="13"/>
        <v>0.33793246068952565</v>
      </c>
    </row>
    <row r="106" spans="1:17" x14ac:dyDescent="0.3">
      <c r="A106" s="2" t="s">
        <v>53</v>
      </c>
      <c r="B106" s="2" t="s">
        <v>46</v>
      </c>
      <c r="C106">
        <v>4118306</v>
      </c>
      <c r="D106">
        <v>170899</v>
      </c>
      <c r="E106">
        <v>113.937198152105</v>
      </c>
      <c r="F106">
        <v>-3.3011245589156801</v>
      </c>
      <c r="G106">
        <v>0.56999999999999995</v>
      </c>
      <c r="H106">
        <v>14.2359423411806</v>
      </c>
      <c r="I106">
        <v>170899</v>
      </c>
      <c r="J106">
        <v>4289205</v>
      </c>
      <c r="K106" s="1">
        <f t="shared" si="7"/>
        <v>3.9843980411288338E-2</v>
      </c>
      <c r="L106" s="1">
        <f t="shared" si="8"/>
        <v>0.82393229424208225</v>
      </c>
      <c r="M106" s="1">
        <f t="shared" si="9"/>
        <v>0.85587631258925101</v>
      </c>
      <c r="N106" s="1">
        <f t="shared" si="10"/>
        <v>0.3147925489790121</v>
      </c>
      <c r="O106" s="1">
        <f t="shared" si="11"/>
        <v>0.2735562310030395</v>
      </c>
      <c r="P106" s="1">
        <f t="shared" si="12"/>
        <v>0.26988165397729907</v>
      </c>
      <c r="Q106">
        <f t="shared" si="13"/>
        <v>0.61964767942587773</v>
      </c>
    </row>
    <row r="107" spans="1:17" x14ac:dyDescent="0.3">
      <c r="A107" s="2" t="s">
        <v>53</v>
      </c>
      <c r="B107" s="2" t="s">
        <v>47</v>
      </c>
      <c r="C107">
        <v>4129119</v>
      </c>
      <c r="D107">
        <v>163723</v>
      </c>
      <c r="E107">
        <v>245.61817089937099</v>
      </c>
      <c r="F107">
        <v>108.633710384856</v>
      </c>
      <c r="G107">
        <v>2.13</v>
      </c>
      <c r="H107">
        <v>13.689182570859399</v>
      </c>
      <c r="I107">
        <v>163723</v>
      </c>
      <c r="J107">
        <v>4292842</v>
      </c>
      <c r="K107" s="1">
        <f t="shared" si="7"/>
        <v>3.8138603750149665E-2</v>
      </c>
      <c r="L107" s="1">
        <f t="shared" si="8"/>
        <v>0.82612810946056625</v>
      </c>
      <c r="M107" s="1">
        <f t="shared" si="9"/>
        <v>0.81966625794113346</v>
      </c>
      <c r="N107" s="1">
        <f t="shared" si="10"/>
        <v>0.97805932296980469</v>
      </c>
      <c r="O107" s="1">
        <f t="shared" si="11"/>
        <v>0.35258358662613976</v>
      </c>
      <c r="P107" s="1">
        <f t="shared" si="12"/>
        <v>0.59047889481968718</v>
      </c>
      <c r="Q107">
        <f t="shared" si="13"/>
        <v>0.78397951553502521</v>
      </c>
    </row>
    <row r="108" spans="1:17" x14ac:dyDescent="0.3">
      <c r="A108" s="2" t="s">
        <v>53</v>
      </c>
      <c r="B108" s="2" t="s">
        <v>48</v>
      </c>
      <c r="C108">
        <v>4862750</v>
      </c>
      <c r="D108">
        <v>183891</v>
      </c>
      <c r="E108">
        <v>183.567644300436</v>
      </c>
      <c r="F108">
        <v>83.306401081687099</v>
      </c>
      <c r="G108">
        <v>5</v>
      </c>
      <c r="H108">
        <v>13.1390272142648</v>
      </c>
      <c r="I108">
        <v>183891</v>
      </c>
      <c r="J108">
        <v>5046641</v>
      </c>
      <c r="K108" s="1">
        <f t="shared" si="7"/>
        <v>3.6438296284598014E-2</v>
      </c>
      <c r="L108" s="1">
        <f t="shared" si="8"/>
        <v>0.975107866655755</v>
      </c>
      <c r="M108" s="1">
        <f t="shared" si="9"/>
        <v>0.92143386972252073</v>
      </c>
      <c r="N108" s="1">
        <f t="shared" si="10"/>
        <v>0.66551566732187828</v>
      </c>
      <c r="O108" s="1">
        <f t="shared" si="11"/>
        <v>0.49797365754812556</v>
      </c>
      <c r="P108" s="1">
        <f t="shared" si="12"/>
        <v>0.51793788929056339</v>
      </c>
      <c r="Q108">
        <f t="shared" si="13"/>
        <v>0.80634050890838882</v>
      </c>
    </row>
    <row r="109" spans="1:17" x14ac:dyDescent="0.3">
      <c r="A109" s="2" t="s">
        <v>53</v>
      </c>
      <c r="B109" s="2" t="s">
        <v>49</v>
      </c>
      <c r="C109">
        <v>3189993</v>
      </c>
      <c r="D109">
        <v>139306</v>
      </c>
      <c r="E109">
        <v>79.626371797786803</v>
      </c>
      <c r="F109">
        <v>-47.544767997889302</v>
      </c>
      <c r="G109">
        <v>9.76</v>
      </c>
      <c r="H109">
        <v>14.870342443472</v>
      </c>
      <c r="I109">
        <v>139306</v>
      </c>
      <c r="J109">
        <v>3329299</v>
      </c>
      <c r="K109" s="1">
        <f t="shared" si="7"/>
        <v>4.1842441907440575E-2</v>
      </c>
      <c r="L109" s="1">
        <f t="shared" si="8"/>
        <v>0.63541811566847073</v>
      </c>
      <c r="M109" s="1">
        <f t="shared" si="9"/>
        <v>0.69645821664471663</v>
      </c>
      <c r="N109" s="1">
        <f t="shared" si="10"/>
        <v>0.14197159668649961</v>
      </c>
      <c r="O109" s="1">
        <f t="shared" si="11"/>
        <v>0.73910840932117516</v>
      </c>
      <c r="P109" s="1">
        <f t="shared" si="12"/>
        <v>0.1431615849436097</v>
      </c>
      <c r="Q109">
        <f t="shared" si="13"/>
        <v>0.51313221340892234</v>
      </c>
    </row>
    <row r="110" spans="1:17" x14ac:dyDescent="0.3">
      <c r="A110" s="2" t="s">
        <v>54</v>
      </c>
      <c r="B110" s="2" t="s">
        <v>14</v>
      </c>
      <c r="C110">
        <v>3281237</v>
      </c>
      <c r="D110">
        <v>101135</v>
      </c>
      <c r="E110">
        <v>179.31203309393501</v>
      </c>
      <c r="F110">
        <v>54.597786604923797</v>
      </c>
      <c r="G110">
        <v>3.58</v>
      </c>
      <c r="H110">
        <v>10.975704715721999</v>
      </c>
      <c r="I110">
        <v>101135</v>
      </c>
      <c r="J110">
        <v>3382372</v>
      </c>
      <c r="K110" s="1">
        <f t="shared" si="7"/>
        <v>2.9900614125235189E-2</v>
      </c>
      <c r="L110" s="1">
        <f t="shared" si="8"/>
        <v>0.65394719768043286</v>
      </c>
      <c r="M110" s="1">
        <f t="shared" si="9"/>
        <v>0.50384757060607432</v>
      </c>
      <c r="N110" s="1">
        <f t="shared" si="10"/>
        <v>0.6440804860849324</v>
      </c>
      <c r="O110" s="1">
        <f t="shared" si="11"/>
        <v>0.42603850050658559</v>
      </c>
      <c r="P110" s="1">
        <f t="shared" si="12"/>
        <v>0.4357123462388266</v>
      </c>
      <c r="Q110">
        <f t="shared" si="13"/>
        <v>0.56983459373119782</v>
      </c>
    </row>
    <row r="111" spans="1:17" x14ac:dyDescent="0.3">
      <c r="A111" s="2" t="s">
        <v>54</v>
      </c>
      <c r="B111" s="2" t="s">
        <v>15</v>
      </c>
      <c r="C111">
        <v>216055</v>
      </c>
      <c r="D111">
        <v>174789</v>
      </c>
      <c r="E111">
        <v>249.71599922219599</v>
      </c>
      <c r="F111">
        <v>-75.121609278416202</v>
      </c>
      <c r="G111">
        <v>-0.56000000000000005</v>
      </c>
      <c r="H111">
        <v>76.3928755226936</v>
      </c>
      <c r="I111">
        <v>174789</v>
      </c>
      <c r="J111">
        <v>390844</v>
      </c>
      <c r="K111" s="1">
        <f t="shared" si="7"/>
        <v>0.44720911668082408</v>
      </c>
      <c r="L111" s="1">
        <f t="shared" si="8"/>
        <v>3.149521552719365E-2</v>
      </c>
      <c r="M111" s="1">
        <f t="shared" si="9"/>
        <v>0.87550523017302717</v>
      </c>
      <c r="N111" s="1">
        <f t="shared" si="10"/>
        <v>0.99869976414625905</v>
      </c>
      <c r="O111" s="1">
        <f t="shared" si="11"/>
        <v>0.2163120567375886</v>
      </c>
      <c r="P111" s="1">
        <f t="shared" si="12"/>
        <v>6.4177600823505071E-2</v>
      </c>
      <c r="Q111">
        <f t="shared" si="13"/>
        <v>0.45768855156313581</v>
      </c>
    </row>
    <row r="112" spans="1:17" x14ac:dyDescent="0.3">
      <c r="A112" s="2" t="s">
        <v>54</v>
      </c>
      <c r="B112" s="2" t="s">
        <v>16</v>
      </c>
      <c r="C112">
        <v>674140</v>
      </c>
      <c r="D112">
        <v>104064</v>
      </c>
      <c r="E112">
        <v>207.400630168953</v>
      </c>
      <c r="F112">
        <v>-58.858890753446403</v>
      </c>
      <c r="G112">
        <v>-2.04</v>
      </c>
      <c r="H112">
        <v>38.174754859702297</v>
      </c>
      <c r="I112">
        <v>104064</v>
      </c>
      <c r="J112">
        <v>778204</v>
      </c>
      <c r="K112" s="1">
        <f t="shared" si="7"/>
        <v>0.13372329106506778</v>
      </c>
      <c r="L112" s="1">
        <f t="shared" si="8"/>
        <v>0.12451935446728483</v>
      </c>
      <c r="M112" s="1">
        <f t="shared" si="9"/>
        <v>0.51862728772763744</v>
      </c>
      <c r="N112" s="1">
        <f t="shared" si="10"/>
        <v>0.78556055552238424</v>
      </c>
      <c r="O112" s="1">
        <f t="shared" si="11"/>
        <v>0.14133738601823706</v>
      </c>
      <c r="P112" s="1">
        <f t="shared" si="12"/>
        <v>0.11075633290740687</v>
      </c>
      <c r="Q112">
        <f t="shared" si="13"/>
        <v>0.35556007899250031</v>
      </c>
    </row>
    <row r="113" spans="1:17" x14ac:dyDescent="0.3">
      <c r="A113" s="2" t="s">
        <v>54</v>
      </c>
      <c r="B113" s="2" t="s">
        <v>17</v>
      </c>
      <c r="C113">
        <v>4066978</v>
      </c>
      <c r="D113">
        <v>176778</v>
      </c>
      <c r="E113">
        <v>170.48576779626299</v>
      </c>
      <c r="F113">
        <v>84.421267285510893</v>
      </c>
      <c r="G113">
        <v>1.68</v>
      </c>
      <c r="H113">
        <v>14.8114509780921</v>
      </c>
      <c r="I113">
        <v>176778</v>
      </c>
      <c r="J113">
        <v>4243756</v>
      </c>
      <c r="K113" s="1">
        <f t="shared" si="7"/>
        <v>4.1656023579112467E-2</v>
      </c>
      <c r="L113" s="1">
        <f t="shared" si="8"/>
        <v>0.81350902562705019</v>
      </c>
      <c r="M113" s="1">
        <f t="shared" si="9"/>
        <v>0.88554171271136406</v>
      </c>
      <c r="N113" s="1">
        <f t="shared" si="10"/>
        <v>0.59962327720928377</v>
      </c>
      <c r="O113" s="1">
        <f t="shared" si="11"/>
        <v>0.32978723404255317</v>
      </c>
      <c r="P113" s="1">
        <f t="shared" si="12"/>
        <v>0.52113102419833257</v>
      </c>
      <c r="Q113">
        <f t="shared" si="13"/>
        <v>0.71113006841325388</v>
      </c>
    </row>
    <row r="114" spans="1:17" x14ac:dyDescent="0.3">
      <c r="A114" s="2" t="s">
        <v>54</v>
      </c>
      <c r="B114" s="2" t="s">
        <v>18</v>
      </c>
      <c r="C114">
        <v>4188311</v>
      </c>
      <c r="D114">
        <v>80768</v>
      </c>
      <c r="E114">
        <v>115.294188746565</v>
      </c>
      <c r="F114">
        <v>25.462540093888698</v>
      </c>
      <c r="G114">
        <v>2.0499999999999998</v>
      </c>
      <c r="H114">
        <v>7.1612629652592101</v>
      </c>
      <c r="I114">
        <v>80768</v>
      </c>
      <c r="J114">
        <v>4269079</v>
      </c>
      <c r="K114" s="1">
        <f t="shared" si="7"/>
        <v>1.89193032033373E-2</v>
      </c>
      <c r="L114" s="1">
        <f t="shared" si="8"/>
        <v>0.83814833459813209</v>
      </c>
      <c r="M114" s="1">
        <f t="shared" si="9"/>
        <v>0.40107580597142956</v>
      </c>
      <c r="N114" s="1">
        <f t="shared" si="10"/>
        <v>0.32162760460736611</v>
      </c>
      <c r="O114" s="1">
        <f t="shared" si="11"/>
        <v>0.34853090172239104</v>
      </c>
      <c r="P114" s="1">
        <f t="shared" si="12"/>
        <v>0.35226486853992456</v>
      </c>
      <c r="Q114">
        <f t="shared" si="13"/>
        <v>0.52802596654990841</v>
      </c>
    </row>
    <row r="115" spans="1:17" x14ac:dyDescent="0.3">
      <c r="A115" s="2" t="s">
        <v>54</v>
      </c>
      <c r="B115" s="2" t="s">
        <v>19</v>
      </c>
      <c r="C115">
        <v>1832953</v>
      </c>
      <c r="D115">
        <v>74267</v>
      </c>
      <c r="E115">
        <v>217.48933001960901</v>
      </c>
      <c r="F115">
        <v>5.7331605667311001</v>
      </c>
      <c r="G115">
        <v>12.52</v>
      </c>
      <c r="H115">
        <v>13.946716957250599</v>
      </c>
      <c r="I115">
        <v>74267</v>
      </c>
      <c r="J115">
        <v>1907220</v>
      </c>
      <c r="K115" s="1">
        <f t="shared" si="7"/>
        <v>3.893992302933065E-2</v>
      </c>
      <c r="L115" s="1">
        <f t="shared" si="8"/>
        <v>0.35984157963856067</v>
      </c>
      <c r="M115" s="1">
        <f t="shared" si="9"/>
        <v>0.36827179743360733</v>
      </c>
      <c r="N115" s="1">
        <f t="shared" si="10"/>
        <v>0.83637654863134259</v>
      </c>
      <c r="O115" s="1">
        <f t="shared" si="11"/>
        <v>0.87892603850050655</v>
      </c>
      <c r="P115" s="1">
        <f t="shared" si="12"/>
        <v>0.2957571277359437</v>
      </c>
      <c r="Q115">
        <f t="shared" si="13"/>
        <v>0.50275612858181162</v>
      </c>
    </row>
    <row r="116" spans="1:17" x14ac:dyDescent="0.3">
      <c r="A116" s="2" t="s">
        <v>54</v>
      </c>
      <c r="B116" s="2" t="s">
        <v>20</v>
      </c>
      <c r="C116">
        <v>3204121</v>
      </c>
      <c r="D116">
        <v>83543</v>
      </c>
      <c r="E116">
        <v>187.549579275741</v>
      </c>
      <c r="F116">
        <v>57.172292202136902</v>
      </c>
      <c r="G116">
        <v>2.39</v>
      </c>
      <c r="H116">
        <v>9.4444411471859393</v>
      </c>
      <c r="I116">
        <v>83543</v>
      </c>
      <c r="J116">
        <v>3287664</v>
      </c>
      <c r="K116" s="1">
        <f t="shared" si="7"/>
        <v>2.5411051737647156E-2</v>
      </c>
      <c r="L116" s="1">
        <f t="shared" si="8"/>
        <v>0.6382871138564612</v>
      </c>
      <c r="M116" s="1">
        <f t="shared" si="9"/>
        <v>0.41507843998042154</v>
      </c>
      <c r="N116" s="1">
        <f t="shared" si="10"/>
        <v>0.6855723627594239</v>
      </c>
      <c r="O116" s="1">
        <f t="shared" si="11"/>
        <v>0.36575481256332321</v>
      </c>
      <c r="P116" s="1">
        <f t="shared" si="12"/>
        <v>0.44308609536182675</v>
      </c>
      <c r="Q116">
        <f t="shared" si="13"/>
        <v>0.5451686631892666</v>
      </c>
    </row>
    <row r="117" spans="1:17" x14ac:dyDescent="0.3">
      <c r="A117" s="2" t="s">
        <v>54</v>
      </c>
      <c r="B117" s="2" t="s">
        <v>21</v>
      </c>
      <c r="C117">
        <v>4025272</v>
      </c>
      <c r="D117">
        <v>84967</v>
      </c>
      <c r="E117">
        <v>68.706466947542395</v>
      </c>
      <c r="F117">
        <v>-28.015803895745201</v>
      </c>
      <c r="G117">
        <v>-1.95</v>
      </c>
      <c r="H117">
        <v>7.7859587550456499</v>
      </c>
      <c r="I117">
        <v>84967</v>
      </c>
      <c r="J117">
        <v>4110239</v>
      </c>
      <c r="K117" s="1">
        <f t="shared" si="7"/>
        <v>2.0672033913356376E-2</v>
      </c>
      <c r="L117" s="1">
        <f t="shared" si="8"/>
        <v>0.80503971373376515</v>
      </c>
      <c r="M117" s="1">
        <f t="shared" si="9"/>
        <v>0.42226393577458532</v>
      </c>
      <c r="N117" s="1">
        <f t="shared" si="10"/>
        <v>8.6968888920898033E-2</v>
      </c>
      <c r="O117" s="1">
        <f t="shared" si="11"/>
        <v>0.1458966565349544</v>
      </c>
      <c r="P117" s="1">
        <f t="shared" si="12"/>
        <v>0.19909530754928917</v>
      </c>
      <c r="Q117">
        <f t="shared" si="13"/>
        <v>0.43922285794306803</v>
      </c>
    </row>
    <row r="118" spans="1:17" x14ac:dyDescent="0.3">
      <c r="A118" s="2" t="s">
        <v>54</v>
      </c>
      <c r="B118" s="2" t="s">
        <v>22</v>
      </c>
      <c r="C118">
        <v>934218</v>
      </c>
      <c r="D118">
        <v>168268</v>
      </c>
      <c r="E118">
        <v>144.49163073272501</v>
      </c>
      <c r="F118">
        <v>-59.394183996431302</v>
      </c>
      <c r="G118">
        <v>8.8000000000000007</v>
      </c>
      <c r="H118">
        <v>41.876201556657399</v>
      </c>
      <c r="I118">
        <v>168268</v>
      </c>
      <c r="J118">
        <v>1102486</v>
      </c>
      <c r="K118" s="1">
        <f t="shared" si="7"/>
        <v>0.15262597438879041</v>
      </c>
      <c r="L118" s="1">
        <f t="shared" si="8"/>
        <v>0.17733385834158991</v>
      </c>
      <c r="M118" s="1">
        <f t="shared" si="9"/>
        <v>0.84260030175045542</v>
      </c>
      <c r="N118" s="1">
        <f t="shared" si="10"/>
        <v>0.46869283924921568</v>
      </c>
      <c r="O118" s="1">
        <f t="shared" si="11"/>
        <v>0.69047619047619047</v>
      </c>
      <c r="P118" s="1">
        <f t="shared" si="12"/>
        <v>0.10922317714915931</v>
      </c>
      <c r="Q118">
        <f t="shared" si="13"/>
        <v>0.44642543046954841</v>
      </c>
    </row>
    <row r="119" spans="1:17" x14ac:dyDescent="0.3">
      <c r="A119" s="2" t="s">
        <v>54</v>
      </c>
      <c r="B119" s="2" t="s">
        <v>23</v>
      </c>
      <c r="C119">
        <v>984517</v>
      </c>
      <c r="D119">
        <v>73372</v>
      </c>
      <c r="E119">
        <v>177.99599012750801</v>
      </c>
      <c r="F119">
        <v>-52.002039212354198</v>
      </c>
      <c r="G119">
        <v>4.43</v>
      </c>
      <c r="H119">
        <v>22.964542392244098</v>
      </c>
      <c r="I119">
        <v>73372</v>
      </c>
      <c r="J119">
        <v>1057889</v>
      </c>
      <c r="K119" s="1">
        <f t="shared" si="7"/>
        <v>6.9356993030459724E-2</v>
      </c>
      <c r="L119" s="1">
        <f t="shared" si="8"/>
        <v>0.18754816608916436</v>
      </c>
      <c r="M119" s="1">
        <f t="shared" si="9"/>
        <v>0.36375563259106758</v>
      </c>
      <c r="N119" s="1">
        <f t="shared" si="10"/>
        <v>0.63745168046051903</v>
      </c>
      <c r="O119" s="1">
        <f t="shared" si="11"/>
        <v>0.46909827760891587</v>
      </c>
      <c r="P119" s="1">
        <f t="shared" si="12"/>
        <v>0.13039532809638718</v>
      </c>
      <c r="Q119">
        <f t="shared" si="13"/>
        <v>0.34402046294160854</v>
      </c>
    </row>
    <row r="120" spans="1:17" x14ac:dyDescent="0.3">
      <c r="A120" s="2" t="s">
        <v>54</v>
      </c>
      <c r="B120" s="2" t="s">
        <v>24</v>
      </c>
      <c r="C120">
        <v>3090048</v>
      </c>
      <c r="D120">
        <v>80481</v>
      </c>
      <c r="E120">
        <v>156.945418256701</v>
      </c>
      <c r="F120">
        <v>26.839008432992699</v>
      </c>
      <c r="G120">
        <v>10.33</v>
      </c>
      <c r="H120">
        <v>9.4351301827799201</v>
      </c>
      <c r="I120">
        <v>80481</v>
      </c>
      <c r="J120">
        <v>3170529</v>
      </c>
      <c r="K120" s="1">
        <f t="shared" si="7"/>
        <v>2.5384092055300549E-2</v>
      </c>
      <c r="L120" s="1">
        <f t="shared" si="8"/>
        <v>0.61512210604936635</v>
      </c>
      <c r="M120" s="1">
        <f t="shared" si="9"/>
        <v>0.39962760562527438</v>
      </c>
      <c r="N120" s="1">
        <f t="shared" si="10"/>
        <v>0.53142159422923874</v>
      </c>
      <c r="O120" s="1">
        <f t="shared" si="11"/>
        <v>0.76798378926038491</v>
      </c>
      <c r="P120" s="1">
        <f t="shared" si="12"/>
        <v>0.35620726906113248</v>
      </c>
      <c r="Q120">
        <f t="shared" si="13"/>
        <v>0.53390306320159631</v>
      </c>
    </row>
    <row r="121" spans="1:17" x14ac:dyDescent="0.3">
      <c r="A121" s="2" t="s">
        <v>54</v>
      </c>
      <c r="B121" s="2" t="s">
        <v>25</v>
      </c>
      <c r="C121">
        <v>2200520</v>
      </c>
      <c r="D121">
        <v>63592</v>
      </c>
      <c r="E121">
        <v>206.482718169419</v>
      </c>
      <c r="F121">
        <v>19.1664719502092</v>
      </c>
      <c r="G121">
        <v>-0.91</v>
      </c>
      <c r="H121">
        <v>10.361694708679099</v>
      </c>
      <c r="I121">
        <v>63592</v>
      </c>
      <c r="J121">
        <v>2264112</v>
      </c>
      <c r="K121" s="1">
        <f t="shared" si="7"/>
        <v>2.8086949762202575E-2</v>
      </c>
      <c r="L121" s="1">
        <f t="shared" si="8"/>
        <v>0.43448406668308842</v>
      </c>
      <c r="M121" s="1">
        <f t="shared" si="9"/>
        <v>0.31440580894856618</v>
      </c>
      <c r="N121" s="1">
        <f t="shared" si="10"/>
        <v>0.78093710447978859</v>
      </c>
      <c r="O121" s="1">
        <f t="shared" si="11"/>
        <v>0.19858156028368792</v>
      </c>
      <c r="P121" s="1">
        <f t="shared" si="12"/>
        <v>0.33423203652625105</v>
      </c>
      <c r="Q121">
        <f t="shared" si="13"/>
        <v>0.44013965615317407</v>
      </c>
    </row>
    <row r="122" spans="1:17" x14ac:dyDescent="0.3">
      <c r="A122" s="2" t="s">
        <v>54</v>
      </c>
      <c r="B122" s="2" t="s">
        <v>26</v>
      </c>
      <c r="C122">
        <v>738767</v>
      </c>
      <c r="D122">
        <v>169623</v>
      </c>
      <c r="E122">
        <v>143.11033807065201</v>
      </c>
      <c r="F122">
        <v>-61.657572629405699</v>
      </c>
      <c r="G122">
        <v>0.19</v>
      </c>
      <c r="H122">
        <v>47.873536170876299</v>
      </c>
      <c r="I122">
        <v>169623</v>
      </c>
      <c r="J122">
        <v>908390</v>
      </c>
      <c r="K122" s="1">
        <f t="shared" si="7"/>
        <v>0.18672926826583297</v>
      </c>
      <c r="L122" s="1">
        <f t="shared" si="8"/>
        <v>0.13764327475998439</v>
      </c>
      <c r="M122" s="1">
        <f t="shared" si="9"/>
        <v>0.84943762394223343</v>
      </c>
      <c r="N122" s="1">
        <f t="shared" si="10"/>
        <v>0.46173537600455461</v>
      </c>
      <c r="O122" s="1">
        <f t="shared" si="11"/>
        <v>0.254305977710233</v>
      </c>
      <c r="P122" s="1">
        <f t="shared" si="12"/>
        <v>0.10274051113147031</v>
      </c>
      <c r="Q122">
        <f t="shared" si="13"/>
        <v>0.38858627623663422</v>
      </c>
    </row>
    <row r="123" spans="1:17" x14ac:dyDescent="0.3">
      <c r="A123" s="2" t="s">
        <v>54</v>
      </c>
      <c r="B123" s="2" t="s">
        <v>27</v>
      </c>
      <c r="C123">
        <v>472702</v>
      </c>
      <c r="D123">
        <v>56393</v>
      </c>
      <c r="E123">
        <v>220.37630293236501</v>
      </c>
      <c r="F123">
        <v>-65.609792066066902</v>
      </c>
      <c r="G123">
        <v>0.31</v>
      </c>
      <c r="H123">
        <v>32.304224416203297</v>
      </c>
      <c r="I123">
        <v>56393</v>
      </c>
      <c r="J123">
        <v>529095</v>
      </c>
      <c r="K123" s="1">
        <f t="shared" si="7"/>
        <v>0.10658388380158573</v>
      </c>
      <c r="L123" s="1">
        <f t="shared" si="8"/>
        <v>8.3612980104854087E-2</v>
      </c>
      <c r="M123" s="1">
        <f t="shared" si="9"/>
        <v>0.27807969643298669</v>
      </c>
      <c r="N123" s="1">
        <f t="shared" si="10"/>
        <v>0.85091800568844977</v>
      </c>
      <c r="O123" s="1">
        <f t="shared" si="11"/>
        <v>0.2603850050658561</v>
      </c>
      <c r="P123" s="1">
        <f t="shared" si="12"/>
        <v>9.1420794197651381E-2</v>
      </c>
      <c r="Q123">
        <f t="shared" si="13"/>
        <v>0.30414864820898629</v>
      </c>
    </row>
    <row r="124" spans="1:17" x14ac:dyDescent="0.3">
      <c r="A124" s="2" t="s">
        <v>54</v>
      </c>
      <c r="B124" s="2" t="s">
        <v>28</v>
      </c>
      <c r="C124">
        <v>2557294</v>
      </c>
      <c r="D124">
        <v>67148</v>
      </c>
      <c r="E124">
        <v>186.477735076637</v>
      </c>
      <c r="F124">
        <v>44.344491962837303</v>
      </c>
      <c r="G124">
        <v>8.56</v>
      </c>
      <c r="H124">
        <v>9.5047004727013</v>
      </c>
      <c r="I124">
        <v>67148</v>
      </c>
      <c r="J124">
        <v>2624442</v>
      </c>
      <c r="K124" s="1">
        <f t="shared" si="7"/>
        <v>2.5585629249951038E-2</v>
      </c>
      <c r="L124" s="1">
        <f t="shared" si="8"/>
        <v>0.50693479994484569</v>
      </c>
      <c r="M124" s="1">
        <f t="shared" si="9"/>
        <v>0.33234936445702579</v>
      </c>
      <c r="N124" s="1">
        <f t="shared" si="10"/>
        <v>0.68017356725139777</v>
      </c>
      <c r="O124" s="1">
        <f t="shared" si="11"/>
        <v>0.67831813576494426</v>
      </c>
      <c r="P124" s="1">
        <f t="shared" si="12"/>
        <v>0.40634545635643898</v>
      </c>
      <c r="Q124">
        <f t="shared" si="13"/>
        <v>0.50501559375737037</v>
      </c>
    </row>
    <row r="125" spans="1:17" x14ac:dyDescent="0.3">
      <c r="A125" s="2" t="s">
        <v>54</v>
      </c>
      <c r="B125" s="2" t="s">
        <v>29</v>
      </c>
      <c r="C125">
        <v>3683440</v>
      </c>
      <c r="D125">
        <v>12793</v>
      </c>
      <c r="E125">
        <v>102.15806200529001</v>
      </c>
      <c r="F125">
        <v>11.370004424126201</v>
      </c>
      <c r="G125">
        <v>9.2100000000000009</v>
      </c>
      <c r="H125">
        <v>1.3702092747519601</v>
      </c>
      <c r="I125">
        <v>12793</v>
      </c>
      <c r="J125">
        <v>3696233</v>
      </c>
      <c r="K125" s="1">
        <f t="shared" si="7"/>
        <v>3.4610913327163088E-3</v>
      </c>
      <c r="L125" s="1">
        <f t="shared" si="8"/>
        <v>0.73562327909353631</v>
      </c>
      <c r="M125" s="1">
        <f t="shared" si="9"/>
        <v>5.8074347679094952E-2</v>
      </c>
      <c r="N125" s="1">
        <f t="shared" si="10"/>
        <v>0.25546196028803114</v>
      </c>
      <c r="O125" s="1">
        <f t="shared" si="11"/>
        <v>0.71124620060790267</v>
      </c>
      <c r="P125" s="1">
        <f t="shared" si="12"/>
        <v>0.31190184790860515</v>
      </c>
      <c r="Q125">
        <f t="shared" si="13"/>
        <v>0.42539393151176846</v>
      </c>
    </row>
    <row r="126" spans="1:17" x14ac:dyDescent="0.3">
      <c r="A126" s="2" t="s">
        <v>54</v>
      </c>
      <c r="B126" s="2" t="s">
        <v>30</v>
      </c>
      <c r="C126">
        <v>4936077</v>
      </c>
      <c r="D126">
        <v>59558</v>
      </c>
      <c r="E126">
        <v>59.231709282203298</v>
      </c>
      <c r="F126">
        <v>-12.7267364695472</v>
      </c>
      <c r="G126">
        <v>7.29</v>
      </c>
      <c r="H126">
        <v>4.6041316821241196</v>
      </c>
      <c r="I126">
        <v>59558</v>
      </c>
      <c r="J126">
        <v>4995635</v>
      </c>
      <c r="K126" s="1">
        <f t="shared" si="7"/>
        <v>1.1922007912907968E-2</v>
      </c>
      <c r="L126" s="1">
        <f t="shared" si="8"/>
        <v>0.98999851148381102</v>
      </c>
      <c r="M126" s="1">
        <f t="shared" si="9"/>
        <v>0.29405026819459373</v>
      </c>
      <c r="N126" s="1">
        <f t="shared" si="10"/>
        <v>3.92452746437209E-2</v>
      </c>
      <c r="O126" s="1">
        <f t="shared" si="11"/>
        <v>0.61398176291793316</v>
      </c>
      <c r="P126" s="1">
        <f t="shared" si="12"/>
        <v>0.24288536481211137</v>
      </c>
      <c r="Q126">
        <f t="shared" si="13"/>
        <v>0.51354781376973091</v>
      </c>
    </row>
    <row r="127" spans="1:17" x14ac:dyDescent="0.3">
      <c r="A127" s="2" t="s">
        <v>54</v>
      </c>
      <c r="B127" s="2" t="s">
        <v>31</v>
      </c>
      <c r="C127">
        <v>3548201</v>
      </c>
      <c r="D127">
        <v>103560</v>
      </c>
      <c r="E127">
        <v>87.382498471285501</v>
      </c>
      <c r="F127">
        <v>-5.8840878926412001</v>
      </c>
      <c r="G127">
        <v>4.57</v>
      </c>
      <c r="H127">
        <v>10.4541619673327</v>
      </c>
      <c r="I127">
        <v>103560</v>
      </c>
      <c r="J127">
        <v>3651761</v>
      </c>
      <c r="K127" s="1">
        <f t="shared" si="7"/>
        <v>2.835892053176536E-2</v>
      </c>
      <c r="L127" s="1">
        <f t="shared" si="8"/>
        <v>0.70816005387088332</v>
      </c>
      <c r="M127" s="1">
        <f t="shared" si="9"/>
        <v>0.51608410663195026</v>
      </c>
      <c r="N127" s="1">
        <f t="shared" si="10"/>
        <v>0.18103860090182372</v>
      </c>
      <c r="O127" s="1">
        <f t="shared" si="11"/>
        <v>0.47619047619047616</v>
      </c>
      <c r="P127" s="1">
        <f t="shared" si="12"/>
        <v>0.26248368069752931</v>
      </c>
      <c r="Q127">
        <f t="shared" si="13"/>
        <v>0.486952181381962</v>
      </c>
    </row>
    <row r="128" spans="1:17" x14ac:dyDescent="0.3">
      <c r="A128" s="2" t="s">
        <v>54</v>
      </c>
      <c r="B128" s="2" t="s">
        <v>32</v>
      </c>
      <c r="C128">
        <v>1548931</v>
      </c>
      <c r="D128">
        <v>66225</v>
      </c>
      <c r="E128">
        <v>183.69742613097401</v>
      </c>
      <c r="F128">
        <v>-12.4907830703436</v>
      </c>
      <c r="G128">
        <v>8.5500000000000007</v>
      </c>
      <c r="H128">
        <v>14.6044477131551</v>
      </c>
      <c r="I128">
        <v>66225</v>
      </c>
      <c r="J128">
        <v>1615156</v>
      </c>
      <c r="K128" s="1">
        <f t="shared" si="7"/>
        <v>4.1002231363410101E-2</v>
      </c>
      <c r="L128" s="1">
        <f t="shared" si="8"/>
        <v>0.30216472492809737</v>
      </c>
      <c r="M128" s="1">
        <f t="shared" si="9"/>
        <v>0.32769191177583673</v>
      </c>
      <c r="N128" s="1">
        <f t="shared" si="10"/>
        <v>0.66616936826490503</v>
      </c>
      <c r="O128" s="1">
        <f t="shared" si="11"/>
        <v>0.67781155015197569</v>
      </c>
      <c r="P128" s="1">
        <f t="shared" si="12"/>
        <v>0.24356116880816012</v>
      </c>
      <c r="Q128">
        <f t="shared" si="13"/>
        <v>0.4130517772177878</v>
      </c>
    </row>
    <row r="129" spans="1:17" x14ac:dyDescent="0.3">
      <c r="A129" s="2" t="s">
        <v>54</v>
      </c>
      <c r="B129" s="2" t="s">
        <v>33</v>
      </c>
      <c r="C129">
        <v>2498014</v>
      </c>
      <c r="D129">
        <v>161246</v>
      </c>
      <c r="E129">
        <v>180.42613358603501</v>
      </c>
      <c r="F129">
        <v>41.513051172393403</v>
      </c>
      <c r="G129">
        <v>14.13</v>
      </c>
      <c r="H129">
        <v>20.5212984545329</v>
      </c>
      <c r="I129">
        <v>161246</v>
      </c>
      <c r="J129">
        <v>2659260</v>
      </c>
      <c r="K129" s="1">
        <f t="shared" si="7"/>
        <v>6.0635665561095946E-2</v>
      </c>
      <c r="L129" s="1">
        <f t="shared" si="8"/>
        <v>0.49489670449014056</v>
      </c>
      <c r="M129" s="1">
        <f t="shared" si="9"/>
        <v>0.80716733021490894</v>
      </c>
      <c r="N129" s="1">
        <f t="shared" si="10"/>
        <v>0.64969212324009662</v>
      </c>
      <c r="O129" s="1">
        <f t="shared" si="11"/>
        <v>0.96048632218844976</v>
      </c>
      <c r="P129" s="1">
        <f t="shared" si="12"/>
        <v>0.39823580840385214</v>
      </c>
      <c r="Q129">
        <f t="shared" si="13"/>
        <v>0.64081631683252582</v>
      </c>
    </row>
    <row r="130" spans="1:17" x14ac:dyDescent="0.3">
      <c r="A130" s="2" t="s">
        <v>54</v>
      </c>
      <c r="B130" s="2" t="s">
        <v>34</v>
      </c>
      <c r="C130">
        <v>3434492</v>
      </c>
      <c r="D130">
        <v>34301</v>
      </c>
      <c r="E130">
        <v>130.477661826462</v>
      </c>
      <c r="F130">
        <v>33.490635599469002</v>
      </c>
      <c r="G130">
        <v>-1.19</v>
      </c>
      <c r="H130">
        <v>3.84142435414436</v>
      </c>
      <c r="I130">
        <v>34301</v>
      </c>
      <c r="J130">
        <v>3468793</v>
      </c>
      <c r="K130" s="1">
        <f t="shared" si="7"/>
        <v>9.8884539953811024E-3</v>
      </c>
      <c r="L130" s="1">
        <f t="shared" si="8"/>
        <v>0.6850689641937735</v>
      </c>
      <c r="M130" s="1">
        <f t="shared" si="9"/>
        <v>0.16660359173869824</v>
      </c>
      <c r="N130" s="1">
        <f t="shared" si="10"/>
        <v>0.39810557251399686</v>
      </c>
      <c r="O130" s="1">
        <f t="shared" si="11"/>
        <v>0.18439716312056736</v>
      </c>
      <c r="P130" s="1">
        <f t="shared" si="12"/>
        <v>0.37525847253818939</v>
      </c>
      <c r="Q130">
        <f t="shared" si="13"/>
        <v>0.41701171347117028</v>
      </c>
    </row>
    <row r="131" spans="1:17" x14ac:dyDescent="0.3">
      <c r="A131" s="2" t="s">
        <v>54</v>
      </c>
      <c r="B131" s="2" t="s">
        <v>35</v>
      </c>
      <c r="C131">
        <v>4404068</v>
      </c>
      <c r="D131">
        <v>46134</v>
      </c>
      <c r="E131">
        <v>91.186871966710697</v>
      </c>
      <c r="F131">
        <v>19.6873617460551</v>
      </c>
      <c r="G131">
        <v>5.35</v>
      </c>
      <c r="H131">
        <v>4.0216152886585901</v>
      </c>
      <c r="I131">
        <v>46134</v>
      </c>
      <c r="J131">
        <v>4450202</v>
      </c>
      <c r="K131" s="1">
        <f t="shared" ref="K131:K194" si="14">I131/J131</f>
        <v>1.0366720432016344E-2</v>
      </c>
      <c r="L131" s="1">
        <f t="shared" ref="L131:L194" si="15">(C131-$A$435)/($A$436-$A$435)</f>
        <v>0.88196249385961689</v>
      </c>
      <c r="M131" s="1">
        <f t="shared" ref="M131:M194" si="16">(D131-$B$435)/($B$436-$B$435)</f>
        <v>0.22631284155073494</v>
      </c>
      <c r="N131" s="1">
        <f t="shared" ref="N131:N194" si="17">(E131-$C$435)/($C$436-$C$435)</f>
        <v>0.20020093303472583</v>
      </c>
      <c r="O131" s="1">
        <f t="shared" ref="O131:O194" si="18">(G131-$E$435)/($E$436-$E$435)</f>
        <v>0.51570415400202629</v>
      </c>
      <c r="P131" s="1">
        <f t="shared" ref="P131:P194" si="19">(F131-$D$435)/($D$436-$D$435)</f>
        <v>0.33572393876932882</v>
      </c>
      <c r="Q131">
        <f t="shared" ref="Q131:Q194" si="20">(0.35)*(L131)+(0.25)*(M131)+(0.2)*(N131)+(0.1)*(O131)+(0.1)*(P131)</f>
        <v>0.49044807912263028</v>
      </c>
    </row>
    <row r="132" spans="1:17" x14ac:dyDescent="0.3">
      <c r="A132" s="2" t="s">
        <v>54</v>
      </c>
      <c r="B132" s="2" t="s">
        <v>36</v>
      </c>
      <c r="C132">
        <v>2961880</v>
      </c>
      <c r="D132">
        <v>44695</v>
      </c>
      <c r="E132">
        <v>227.43487190573899</v>
      </c>
      <c r="F132">
        <v>101.681167969326</v>
      </c>
      <c r="G132">
        <v>11.68</v>
      </c>
      <c r="H132">
        <v>5.6924340743665303</v>
      </c>
      <c r="I132">
        <v>44695</v>
      </c>
      <c r="J132">
        <v>3006575</v>
      </c>
      <c r="K132" s="1">
        <f t="shared" si="14"/>
        <v>1.4865752558974913E-2</v>
      </c>
      <c r="L132" s="1">
        <f t="shared" si="15"/>
        <v>0.58909480142320825</v>
      </c>
      <c r="M132" s="1">
        <f t="shared" si="16"/>
        <v>0.21905165584300904</v>
      </c>
      <c r="N132" s="1">
        <f t="shared" si="17"/>
        <v>0.88647146625520024</v>
      </c>
      <c r="O132" s="1">
        <f t="shared" si="18"/>
        <v>0.83637284701114467</v>
      </c>
      <c r="P132" s="1">
        <f t="shared" si="19"/>
        <v>0.570565827396322</v>
      </c>
      <c r="Q132">
        <f t="shared" si="20"/>
        <v>0.57893425515066188</v>
      </c>
    </row>
    <row r="133" spans="1:17" x14ac:dyDescent="0.3">
      <c r="A133" s="2" t="s">
        <v>54</v>
      </c>
      <c r="B133" s="2" t="s">
        <v>37</v>
      </c>
      <c r="C133">
        <v>256359</v>
      </c>
      <c r="D133">
        <v>127998</v>
      </c>
      <c r="E133">
        <v>55.417229294640102</v>
      </c>
      <c r="F133">
        <v>-93.717740746202594</v>
      </c>
      <c r="G133">
        <v>-4.59</v>
      </c>
      <c r="H133">
        <v>66.635170644666303</v>
      </c>
      <c r="I133">
        <v>127998</v>
      </c>
      <c r="J133">
        <v>384357</v>
      </c>
      <c r="K133" s="1">
        <f t="shared" si="14"/>
        <v>0.33301852184297409</v>
      </c>
      <c r="L133" s="1">
        <f t="shared" si="15"/>
        <v>3.9679820776964837E-2</v>
      </c>
      <c r="M133" s="1">
        <f t="shared" si="16"/>
        <v>0.63939811380735401</v>
      </c>
      <c r="N133" s="1">
        <f t="shared" si="17"/>
        <v>2.0032036899348231E-2</v>
      </c>
      <c r="O133" s="1">
        <f t="shared" si="18"/>
        <v>1.2158054711246211E-2</v>
      </c>
      <c r="P133" s="1">
        <f t="shared" si="19"/>
        <v>1.0915643168325989E-2</v>
      </c>
      <c r="Q133">
        <f t="shared" si="20"/>
        <v>0.18005124289160307</v>
      </c>
    </row>
    <row r="134" spans="1:17" x14ac:dyDescent="0.3">
      <c r="A134" s="2" t="s">
        <v>54</v>
      </c>
      <c r="B134" s="2" t="s">
        <v>38</v>
      </c>
      <c r="C134">
        <v>2999923</v>
      </c>
      <c r="D134">
        <v>94719</v>
      </c>
      <c r="E134">
        <v>107.05600195434501</v>
      </c>
      <c r="F134">
        <v>-37.179426404361202</v>
      </c>
      <c r="G134">
        <v>-0.16</v>
      </c>
      <c r="H134">
        <v>11.2133334951265</v>
      </c>
      <c r="I134">
        <v>94719</v>
      </c>
      <c r="J134">
        <v>3094642</v>
      </c>
      <c r="K134" s="1">
        <f t="shared" si="14"/>
        <v>3.0607417594668462E-2</v>
      </c>
      <c r="L134" s="1">
        <f t="shared" si="15"/>
        <v>0.59682026136557242</v>
      </c>
      <c r="M134" s="1">
        <f t="shared" si="16"/>
        <v>0.47147247157843747</v>
      </c>
      <c r="N134" s="1">
        <f t="shared" si="17"/>
        <v>0.28013250122825811</v>
      </c>
      <c r="O134" s="1">
        <f t="shared" si="18"/>
        <v>0.23657548125633229</v>
      </c>
      <c r="P134" s="1">
        <f t="shared" si="19"/>
        <v>0.17284939318438877</v>
      </c>
      <c r="Q134">
        <f t="shared" si="20"/>
        <v>0.42372419706228348</v>
      </c>
    </row>
    <row r="135" spans="1:17" x14ac:dyDescent="0.3">
      <c r="A135" s="2" t="s">
        <v>54</v>
      </c>
      <c r="B135" s="2" t="s">
        <v>39</v>
      </c>
      <c r="C135">
        <v>1993971</v>
      </c>
      <c r="D135">
        <v>182357</v>
      </c>
      <c r="E135">
        <v>167.34609856602401</v>
      </c>
      <c r="F135">
        <v>-30.940981275183599</v>
      </c>
      <c r="G135">
        <v>-1.83</v>
      </c>
      <c r="H135">
        <v>26.783736059240599</v>
      </c>
      <c r="I135">
        <v>182357</v>
      </c>
      <c r="J135">
        <v>2176328</v>
      </c>
      <c r="K135" s="1">
        <f t="shared" si="14"/>
        <v>8.3791138100506909E-2</v>
      </c>
      <c r="L135" s="1">
        <f t="shared" si="15"/>
        <v>0.3925397924240821</v>
      </c>
      <c r="M135" s="1">
        <f t="shared" si="16"/>
        <v>0.91369331456223479</v>
      </c>
      <c r="N135" s="1">
        <f t="shared" si="17"/>
        <v>0.58380900853938589</v>
      </c>
      <c r="O135" s="1">
        <f t="shared" si="18"/>
        <v>0.1519756838905775</v>
      </c>
      <c r="P135" s="1">
        <f t="shared" si="19"/>
        <v>0.19071718471296564</v>
      </c>
      <c r="Q135">
        <f t="shared" si="20"/>
        <v>0.51684334455721892</v>
      </c>
    </row>
    <row r="136" spans="1:17" x14ac:dyDescent="0.3">
      <c r="A136" s="2" t="s">
        <v>54</v>
      </c>
      <c r="B136" s="2" t="s">
        <v>40</v>
      </c>
      <c r="C136">
        <v>754110</v>
      </c>
      <c r="D136">
        <v>40505</v>
      </c>
      <c r="E136">
        <v>89.7289882521724</v>
      </c>
      <c r="F136">
        <v>-86.480208580232201</v>
      </c>
      <c r="G136">
        <v>8.35</v>
      </c>
      <c r="H136">
        <v>17.685263008524899</v>
      </c>
      <c r="I136">
        <v>40505</v>
      </c>
      <c r="J136">
        <v>794615</v>
      </c>
      <c r="K136" s="1">
        <f t="shared" si="14"/>
        <v>5.0974371236384916E-2</v>
      </c>
      <c r="L136" s="1">
        <f t="shared" si="15"/>
        <v>0.14075900516756773</v>
      </c>
      <c r="M136" s="1">
        <f t="shared" si="16"/>
        <v>0.19790893998799053</v>
      </c>
      <c r="N136" s="1">
        <f t="shared" si="17"/>
        <v>0.19285768664140357</v>
      </c>
      <c r="O136" s="1">
        <f t="shared" si="18"/>
        <v>0.66767983789260377</v>
      </c>
      <c r="P136" s="1">
        <f t="shared" si="19"/>
        <v>3.164496165156417E-2</v>
      </c>
      <c r="Q136">
        <f t="shared" si="20"/>
        <v>0.20724690408834384</v>
      </c>
    </row>
    <row r="137" spans="1:17" x14ac:dyDescent="0.3">
      <c r="A137" s="2" t="s">
        <v>54</v>
      </c>
      <c r="B137" s="2" t="s">
        <v>41</v>
      </c>
      <c r="C137">
        <v>3231687</v>
      </c>
      <c r="D137">
        <v>96708</v>
      </c>
      <c r="E137">
        <v>110.413577715385</v>
      </c>
      <c r="F137">
        <v>-30.315240578336098</v>
      </c>
      <c r="G137">
        <v>-4.5</v>
      </c>
      <c r="H137">
        <v>10.690340440384499</v>
      </c>
      <c r="I137">
        <v>96708</v>
      </c>
      <c r="J137">
        <v>3328395</v>
      </c>
      <c r="K137" s="1">
        <f t="shared" si="14"/>
        <v>2.9055445642719689E-2</v>
      </c>
      <c r="L137" s="1">
        <f t="shared" si="15"/>
        <v>0.64388499070032756</v>
      </c>
      <c r="M137" s="1">
        <f t="shared" si="16"/>
        <v>0.48150895411677441</v>
      </c>
      <c r="N137" s="1">
        <f t="shared" si="17"/>
        <v>0.29704434807289581</v>
      </c>
      <c r="O137" s="1">
        <f t="shared" si="18"/>
        <v>1.6717325227963528E-2</v>
      </c>
      <c r="P137" s="1">
        <f t="shared" si="19"/>
        <v>0.19250939480549739</v>
      </c>
      <c r="Q137">
        <f t="shared" si="20"/>
        <v>0.42606852689223351</v>
      </c>
    </row>
    <row r="138" spans="1:17" x14ac:dyDescent="0.3">
      <c r="A138" s="2" t="s">
        <v>54</v>
      </c>
      <c r="B138" s="2" t="s">
        <v>42</v>
      </c>
      <c r="C138">
        <v>2521789</v>
      </c>
      <c r="D138">
        <v>20055</v>
      </c>
      <c r="E138">
        <v>248.67773159957801</v>
      </c>
      <c r="F138">
        <v>19.857786205261899</v>
      </c>
      <c r="G138">
        <v>8.36</v>
      </c>
      <c r="H138">
        <v>3.0830024031430998</v>
      </c>
      <c r="I138">
        <v>20055</v>
      </c>
      <c r="J138">
        <v>2541844</v>
      </c>
      <c r="K138" s="1">
        <f t="shared" si="14"/>
        <v>7.8899413181926191E-3</v>
      </c>
      <c r="L138" s="1">
        <f t="shared" si="15"/>
        <v>0.49972473619452001</v>
      </c>
      <c r="M138" s="1">
        <f t="shared" si="16"/>
        <v>9.4718357831635361E-2</v>
      </c>
      <c r="N138" s="1">
        <f t="shared" si="17"/>
        <v>0.99347009123129182</v>
      </c>
      <c r="O138" s="1">
        <f t="shared" si="18"/>
        <v>0.66818642350557234</v>
      </c>
      <c r="P138" s="1">
        <f t="shared" si="19"/>
        <v>0.33621205858851827</v>
      </c>
      <c r="Q138">
        <f t="shared" si="20"/>
        <v>0.49771711358165827</v>
      </c>
    </row>
    <row r="139" spans="1:17" x14ac:dyDescent="0.3">
      <c r="A139" s="2" t="s">
        <v>54</v>
      </c>
      <c r="B139" s="2" t="s">
        <v>43</v>
      </c>
      <c r="C139">
        <v>2893121</v>
      </c>
      <c r="D139">
        <v>177516</v>
      </c>
      <c r="E139">
        <v>133.034285719868</v>
      </c>
      <c r="F139">
        <v>-22.540886465987199</v>
      </c>
      <c r="G139">
        <v>1.06</v>
      </c>
      <c r="H139">
        <v>19.706565163875801</v>
      </c>
      <c r="I139">
        <v>177516</v>
      </c>
      <c r="J139">
        <v>3070637</v>
      </c>
      <c r="K139" s="1">
        <f t="shared" si="14"/>
        <v>5.7810806031452104E-2</v>
      </c>
      <c r="L139" s="1">
        <f t="shared" si="15"/>
        <v>0.57513178851210722</v>
      </c>
      <c r="M139" s="1">
        <f t="shared" si="16"/>
        <v>0.88926565645862032</v>
      </c>
      <c r="N139" s="1">
        <f t="shared" si="17"/>
        <v>0.4109830873645422</v>
      </c>
      <c r="O139" s="1">
        <f t="shared" si="18"/>
        <v>0.29837892603850052</v>
      </c>
      <c r="P139" s="1">
        <f t="shared" si="19"/>
        <v>0.21477624747028901</v>
      </c>
      <c r="Q139">
        <f t="shared" si="20"/>
        <v>0.55712467491767992</v>
      </c>
    </row>
    <row r="140" spans="1:17" x14ac:dyDescent="0.3">
      <c r="A140" s="2" t="s">
        <v>54</v>
      </c>
      <c r="B140" s="2" t="s">
        <v>44</v>
      </c>
      <c r="C140">
        <v>3507310</v>
      </c>
      <c r="D140">
        <v>6447</v>
      </c>
      <c r="E140">
        <v>203.59973669209299</v>
      </c>
      <c r="F140">
        <v>35.652998340838998</v>
      </c>
      <c r="G140">
        <v>-2.17</v>
      </c>
      <c r="H140">
        <v>0.72989767054296195</v>
      </c>
      <c r="I140">
        <v>6447</v>
      </c>
      <c r="J140">
        <v>3513757</v>
      </c>
      <c r="K140" s="1">
        <f t="shared" si="14"/>
        <v>1.8347882337907829E-3</v>
      </c>
      <c r="L140" s="1">
        <f t="shared" si="15"/>
        <v>0.69985624548292191</v>
      </c>
      <c r="M140" s="1">
        <f t="shared" si="16"/>
        <v>2.6052468248081259E-2</v>
      </c>
      <c r="N140" s="1">
        <f t="shared" si="17"/>
        <v>0.76641575197116707</v>
      </c>
      <c r="O140" s="1">
        <f t="shared" si="18"/>
        <v>0.13475177304964539</v>
      </c>
      <c r="P140" s="1">
        <f t="shared" si="19"/>
        <v>0.38145178607576546</v>
      </c>
      <c r="Q140">
        <f t="shared" si="20"/>
        <v>0.45636630928781752</v>
      </c>
    </row>
    <row r="141" spans="1:17" x14ac:dyDescent="0.3">
      <c r="A141" s="2" t="s">
        <v>54</v>
      </c>
      <c r="B141" s="2" t="s">
        <v>45</v>
      </c>
      <c r="C141">
        <v>4151377</v>
      </c>
      <c r="D141">
        <v>61015</v>
      </c>
      <c r="E141">
        <v>235.94670201633599</v>
      </c>
      <c r="F141">
        <v>88.461720786916302</v>
      </c>
      <c r="G141">
        <v>6.9</v>
      </c>
      <c r="H141">
        <v>5.5525764559928801</v>
      </c>
      <c r="I141">
        <v>61015</v>
      </c>
      <c r="J141">
        <v>4212392</v>
      </c>
      <c r="K141" s="1">
        <f t="shared" si="14"/>
        <v>1.4484644354086704E-2</v>
      </c>
      <c r="L141" s="1">
        <f t="shared" si="15"/>
        <v>0.83064808126607947</v>
      </c>
      <c r="M141" s="1">
        <f t="shared" si="16"/>
        <v>0.30140228179859418</v>
      </c>
      <c r="N141" s="1">
        <f t="shared" si="17"/>
        <v>0.9293448896544102</v>
      </c>
      <c r="O141" s="1">
        <f t="shared" si="18"/>
        <v>0.59422492401215798</v>
      </c>
      <c r="P141" s="1">
        <f t="shared" si="19"/>
        <v>0.53270345600611824</v>
      </c>
      <c r="Q141">
        <f t="shared" si="20"/>
        <v>0.66463921482548605</v>
      </c>
    </row>
    <row r="142" spans="1:17" x14ac:dyDescent="0.3">
      <c r="A142" s="2" t="s">
        <v>54</v>
      </c>
      <c r="B142" s="2" t="s">
        <v>46</v>
      </c>
      <c r="C142">
        <v>3769384</v>
      </c>
      <c r="D142">
        <v>25282</v>
      </c>
      <c r="E142">
        <v>247.030963989979</v>
      </c>
      <c r="F142">
        <v>77.748281583313499</v>
      </c>
      <c r="G142">
        <v>10.17</v>
      </c>
      <c r="H142">
        <v>2.61278094474322</v>
      </c>
      <c r="I142">
        <v>25282</v>
      </c>
      <c r="J142">
        <v>3794666</v>
      </c>
      <c r="K142" s="1">
        <f t="shared" si="14"/>
        <v>6.662509954762817E-3</v>
      </c>
      <c r="L142" s="1">
        <f t="shared" si="15"/>
        <v>0.75307608064143061</v>
      </c>
      <c r="M142" s="1">
        <f t="shared" si="16"/>
        <v>0.12109376971091498</v>
      </c>
      <c r="N142" s="1">
        <f t="shared" si="17"/>
        <v>0.98517545141246543</v>
      </c>
      <c r="O142" s="1">
        <f t="shared" si="18"/>
        <v>0.75987841945288748</v>
      </c>
      <c r="P142" s="1">
        <f t="shared" si="19"/>
        <v>0.50201864684610042</v>
      </c>
      <c r="Q142">
        <f t="shared" si="20"/>
        <v>0.61707486756462138</v>
      </c>
    </row>
    <row r="143" spans="1:17" x14ac:dyDescent="0.3">
      <c r="A143" s="2" t="s">
        <v>54</v>
      </c>
      <c r="B143" s="2" t="s">
        <v>47</v>
      </c>
      <c r="C143">
        <v>1215402</v>
      </c>
      <c r="D143">
        <v>198977</v>
      </c>
      <c r="E143">
        <v>119.274960954595</v>
      </c>
      <c r="F143">
        <v>-68.011377103578994</v>
      </c>
      <c r="G143">
        <v>2.09</v>
      </c>
      <c r="H143">
        <v>39.571622474904402</v>
      </c>
      <c r="I143">
        <v>198977</v>
      </c>
      <c r="J143">
        <v>1414379</v>
      </c>
      <c r="K143" s="1">
        <f t="shared" si="14"/>
        <v>0.1406815287840105</v>
      </c>
      <c r="L143" s="1">
        <f t="shared" si="15"/>
        <v>0.23443439532431276</v>
      </c>
      <c r="M143" s="1">
        <f t="shared" si="16"/>
        <v>0.99755773878906229</v>
      </c>
      <c r="N143" s="1">
        <f t="shared" si="17"/>
        <v>0.3416784432769725</v>
      </c>
      <c r="O143" s="1">
        <f t="shared" si="18"/>
        <v>0.35055724417426543</v>
      </c>
      <c r="P143" s="1">
        <f t="shared" si="19"/>
        <v>8.454231407962999E-2</v>
      </c>
      <c r="Q143">
        <f t="shared" si="20"/>
        <v>0.44328711754155908</v>
      </c>
    </row>
    <row r="144" spans="1:17" x14ac:dyDescent="0.3">
      <c r="A144" s="2" t="s">
        <v>54</v>
      </c>
      <c r="B144" s="2" t="s">
        <v>48</v>
      </c>
      <c r="C144">
        <v>2408803</v>
      </c>
      <c r="D144">
        <v>75054</v>
      </c>
      <c r="E144">
        <v>170.259398991165</v>
      </c>
      <c r="F144">
        <v>-19.810381607015799</v>
      </c>
      <c r="G144">
        <v>5.78</v>
      </c>
      <c r="H144">
        <v>11.0820928166247</v>
      </c>
      <c r="I144">
        <v>75054</v>
      </c>
      <c r="J144">
        <v>2483857</v>
      </c>
      <c r="K144" s="1">
        <f t="shared" si="14"/>
        <v>3.0216715374516326E-2</v>
      </c>
      <c r="L144" s="1">
        <f t="shared" si="15"/>
        <v>0.47678046741845198</v>
      </c>
      <c r="M144" s="1">
        <f t="shared" si="16"/>
        <v>0.37224299489849982</v>
      </c>
      <c r="N144" s="1">
        <f t="shared" si="17"/>
        <v>0.59848307521990707</v>
      </c>
      <c r="O144" s="1">
        <f t="shared" si="18"/>
        <v>0.53748733535967574</v>
      </c>
      <c r="P144" s="1">
        <f t="shared" si="19"/>
        <v>0.22259680060133799</v>
      </c>
      <c r="Q144">
        <f t="shared" si="20"/>
        <v>0.45563894096116597</v>
      </c>
    </row>
    <row r="145" spans="1:17" x14ac:dyDescent="0.3">
      <c r="A145" s="2" t="s">
        <v>54</v>
      </c>
      <c r="B145" s="2" t="s">
        <v>49</v>
      </c>
      <c r="C145">
        <v>3694737</v>
      </c>
      <c r="D145">
        <v>84246</v>
      </c>
      <c r="E145">
        <v>242.20802263466101</v>
      </c>
      <c r="F145">
        <v>73.557715098364497</v>
      </c>
      <c r="G145">
        <v>12.9</v>
      </c>
      <c r="H145">
        <v>8.3583164608860496</v>
      </c>
      <c r="I145">
        <v>84246</v>
      </c>
      <c r="J145">
        <v>3778983</v>
      </c>
      <c r="K145" s="1">
        <f t="shared" si="14"/>
        <v>2.2293299546465278E-2</v>
      </c>
      <c r="L145" s="1">
        <f t="shared" si="15"/>
        <v>0.73791738105628601</v>
      </c>
      <c r="M145" s="1">
        <f t="shared" si="16"/>
        <v>0.41862577392936617</v>
      </c>
      <c r="N145" s="1">
        <f t="shared" si="17"/>
        <v>0.96088267253067394</v>
      </c>
      <c r="O145" s="1">
        <f t="shared" si="18"/>
        <v>0.89817629179331304</v>
      </c>
      <c r="P145" s="1">
        <f t="shared" si="19"/>
        <v>0.49001627016581045</v>
      </c>
      <c r="Q145">
        <f t="shared" si="20"/>
        <v>0.69392331755408887</v>
      </c>
    </row>
    <row r="146" spans="1:17" x14ac:dyDescent="0.3">
      <c r="A146" s="2" t="s">
        <v>55</v>
      </c>
      <c r="B146" s="2" t="s">
        <v>14</v>
      </c>
      <c r="C146">
        <v>96657</v>
      </c>
      <c r="D146">
        <v>20375</v>
      </c>
      <c r="E146">
        <v>238.396336044842</v>
      </c>
      <c r="F146">
        <v>-91.848461238800098</v>
      </c>
      <c r="G146">
        <v>10.34</v>
      </c>
      <c r="H146">
        <v>45.746167706012102</v>
      </c>
      <c r="I146">
        <v>20375</v>
      </c>
      <c r="J146">
        <v>117032</v>
      </c>
      <c r="K146" s="1">
        <f t="shared" si="14"/>
        <v>0.17409768268507758</v>
      </c>
      <c r="L146" s="1">
        <f t="shared" si="15"/>
        <v>7.2488504613892508E-3</v>
      </c>
      <c r="M146" s="1">
        <f t="shared" si="16"/>
        <v>9.633307598762722E-2</v>
      </c>
      <c r="N146" s="1">
        <f t="shared" si="17"/>
        <v>0.94168350491254349</v>
      </c>
      <c r="O146" s="1">
        <f t="shared" si="18"/>
        <v>0.76849037487335348</v>
      </c>
      <c r="P146" s="1">
        <f t="shared" si="19"/>
        <v>1.626952476146452E-2</v>
      </c>
      <c r="Q146">
        <f t="shared" si="20"/>
        <v>0.2934330576043836</v>
      </c>
    </row>
    <row r="147" spans="1:17" x14ac:dyDescent="0.3">
      <c r="A147" s="2" t="s">
        <v>55</v>
      </c>
      <c r="B147" s="2" t="s">
        <v>15</v>
      </c>
      <c r="C147">
        <v>1172772</v>
      </c>
      <c r="D147">
        <v>159794</v>
      </c>
      <c r="E147">
        <v>161.11772324973001</v>
      </c>
      <c r="F147">
        <v>-37.271133619010499</v>
      </c>
      <c r="G147">
        <v>-0.74</v>
      </c>
      <c r="H147">
        <v>35.275626011342403</v>
      </c>
      <c r="I147">
        <v>159794</v>
      </c>
      <c r="J147">
        <v>1332566</v>
      </c>
      <c r="K147" s="1">
        <f t="shared" si="14"/>
        <v>0.11991451080096596</v>
      </c>
      <c r="L147" s="1">
        <f t="shared" si="15"/>
        <v>0.22577744510106579</v>
      </c>
      <c r="M147" s="1">
        <f t="shared" si="16"/>
        <v>0.7998405465820958</v>
      </c>
      <c r="N147" s="1">
        <f t="shared" si="17"/>
        <v>0.55243716857606073</v>
      </c>
      <c r="O147" s="1">
        <f t="shared" si="18"/>
        <v>0.20719351570415398</v>
      </c>
      <c r="P147" s="1">
        <f t="shared" si="19"/>
        <v>0.17258673071656386</v>
      </c>
      <c r="Q147">
        <f t="shared" si="20"/>
        <v>0.4274477007881809</v>
      </c>
    </row>
    <row r="148" spans="1:17" x14ac:dyDescent="0.3">
      <c r="A148" s="2" t="s">
        <v>55</v>
      </c>
      <c r="B148" s="2" t="s">
        <v>16</v>
      </c>
      <c r="C148">
        <v>3972159</v>
      </c>
      <c r="D148">
        <v>28548</v>
      </c>
      <c r="E148">
        <v>100.482239764121</v>
      </c>
      <c r="F148">
        <v>17.452278924814902</v>
      </c>
      <c r="G148">
        <v>12.1</v>
      </c>
      <c r="H148">
        <v>2.7944736024878898</v>
      </c>
      <c r="I148">
        <v>28548</v>
      </c>
      <c r="J148">
        <v>4000707</v>
      </c>
      <c r="K148" s="1">
        <f t="shared" si="14"/>
        <v>7.1357387581744928E-3</v>
      </c>
      <c r="L148" s="1">
        <f t="shared" si="15"/>
        <v>0.79425396198130638</v>
      </c>
      <c r="M148" s="1">
        <f t="shared" si="16"/>
        <v>0.13757398689050698</v>
      </c>
      <c r="N148" s="1">
        <f t="shared" si="17"/>
        <v>0.24702097455947405</v>
      </c>
      <c r="O148" s="1">
        <f t="shared" si="18"/>
        <v>0.85764944275582566</v>
      </c>
      <c r="P148" s="1">
        <f t="shared" si="19"/>
        <v>0.32932234461051507</v>
      </c>
      <c r="Q148">
        <f t="shared" si="20"/>
        <v>0.48048375706461288</v>
      </c>
    </row>
    <row r="149" spans="1:17" x14ac:dyDescent="0.3">
      <c r="A149" s="2" t="s">
        <v>55</v>
      </c>
      <c r="B149" s="2" t="s">
        <v>17</v>
      </c>
      <c r="C149">
        <v>2026140</v>
      </c>
      <c r="D149">
        <v>13726</v>
      </c>
      <c r="E149">
        <v>233.593775277395</v>
      </c>
      <c r="F149">
        <v>39.218932606155001</v>
      </c>
      <c r="G149">
        <v>9.92</v>
      </c>
      <c r="H149">
        <v>2.6382911653958301</v>
      </c>
      <c r="I149">
        <v>13726</v>
      </c>
      <c r="J149">
        <v>2039866</v>
      </c>
      <c r="K149" s="1">
        <f t="shared" si="14"/>
        <v>6.7288733671721571E-3</v>
      </c>
      <c r="L149" s="1">
        <f t="shared" si="15"/>
        <v>0.39907240869740213</v>
      </c>
      <c r="M149" s="1">
        <f t="shared" si="16"/>
        <v>6.2782260302658738E-2</v>
      </c>
      <c r="N149" s="1">
        <f t="shared" si="17"/>
        <v>0.91749338145990933</v>
      </c>
      <c r="O149" s="1">
        <f t="shared" si="18"/>
        <v>0.74721377912867271</v>
      </c>
      <c r="P149" s="1">
        <f t="shared" si="19"/>
        <v>0.39166512749946003</v>
      </c>
      <c r="Q149">
        <f t="shared" si="20"/>
        <v>0.45275747507455055</v>
      </c>
    </row>
    <row r="150" spans="1:17" x14ac:dyDescent="0.3">
      <c r="A150" s="2" t="s">
        <v>55</v>
      </c>
      <c r="B150" s="2" t="s">
        <v>18</v>
      </c>
      <c r="C150">
        <v>2112719</v>
      </c>
      <c r="D150">
        <v>182676</v>
      </c>
      <c r="E150">
        <v>54.021203322303997</v>
      </c>
      <c r="F150">
        <v>-63.7709388391118</v>
      </c>
      <c r="G150">
        <v>13.95</v>
      </c>
      <c r="H150">
        <v>25.6980407065709</v>
      </c>
      <c r="I150">
        <v>182676</v>
      </c>
      <c r="J150">
        <v>2295395</v>
      </c>
      <c r="K150" s="1">
        <f t="shared" si="14"/>
        <v>7.958368821052586E-2</v>
      </c>
      <c r="L150" s="1">
        <f t="shared" si="15"/>
        <v>0.41665416082919898</v>
      </c>
      <c r="M150" s="1">
        <f t="shared" si="16"/>
        <v>0.91530298672398913</v>
      </c>
      <c r="N150" s="1">
        <f t="shared" si="17"/>
        <v>1.3000363121726078E-2</v>
      </c>
      <c r="O150" s="1">
        <f t="shared" si="18"/>
        <v>0.95136778115501519</v>
      </c>
      <c r="P150" s="1">
        <f t="shared" si="19"/>
        <v>9.6687530608814784E-2</v>
      </c>
      <c r="Q150">
        <f t="shared" si="20"/>
        <v>0.48206030677194517</v>
      </c>
    </row>
    <row r="151" spans="1:17" x14ac:dyDescent="0.3">
      <c r="A151" s="2" t="s">
        <v>55</v>
      </c>
      <c r="B151" s="2" t="s">
        <v>19</v>
      </c>
      <c r="C151">
        <v>1858727</v>
      </c>
      <c r="D151">
        <v>158096</v>
      </c>
      <c r="E151">
        <v>140.61719843536</v>
      </c>
      <c r="F151">
        <v>-17.140631086871799</v>
      </c>
      <c r="G151">
        <v>-3.1</v>
      </c>
      <c r="H151">
        <v>25.3856211144344</v>
      </c>
      <c r="I151">
        <v>158096</v>
      </c>
      <c r="J151">
        <v>2016823</v>
      </c>
      <c r="K151" s="1">
        <f t="shared" si="14"/>
        <v>7.838863400506639E-2</v>
      </c>
      <c r="L151" s="1">
        <f t="shared" si="15"/>
        <v>0.36507555184250079</v>
      </c>
      <c r="M151" s="1">
        <f t="shared" si="16"/>
        <v>0.79127244836686395</v>
      </c>
      <c r="N151" s="1">
        <f t="shared" si="17"/>
        <v>0.44917762640330827</v>
      </c>
      <c r="O151" s="1">
        <f t="shared" si="18"/>
        <v>8.7639311043566356E-2</v>
      </c>
      <c r="P151" s="1">
        <f t="shared" si="19"/>
        <v>0.23024334469036664</v>
      </c>
      <c r="Q151">
        <f t="shared" si="20"/>
        <v>0.44721834609064626</v>
      </c>
    </row>
    <row r="152" spans="1:17" x14ac:dyDescent="0.3">
      <c r="A152" s="2" t="s">
        <v>55</v>
      </c>
      <c r="B152" s="2" t="s">
        <v>20</v>
      </c>
      <c r="C152">
        <v>1186345</v>
      </c>
      <c r="D152">
        <v>53157</v>
      </c>
      <c r="E152">
        <v>191.286500546187</v>
      </c>
      <c r="F152">
        <v>-30.7265290222049</v>
      </c>
      <c r="G152">
        <v>-3.92</v>
      </c>
      <c r="H152">
        <v>15.198863737899099</v>
      </c>
      <c r="I152">
        <v>53157</v>
      </c>
      <c r="J152">
        <v>1239502</v>
      </c>
      <c r="K152" s="1">
        <f t="shared" si="14"/>
        <v>4.2885771866443136E-2</v>
      </c>
      <c r="L152" s="1">
        <f t="shared" si="15"/>
        <v>0.22853373844800765</v>
      </c>
      <c r="M152" s="1">
        <f t="shared" si="16"/>
        <v>0.26175085908051893</v>
      </c>
      <c r="N152" s="1">
        <f t="shared" si="17"/>
        <v>0.70439494330386898</v>
      </c>
      <c r="O152" s="1">
        <f t="shared" si="18"/>
        <v>4.6099290780141848E-2</v>
      </c>
      <c r="P152" s="1">
        <f t="shared" si="19"/>
        <v>0.1913314063771325</v>
      </c>
      <c r="Q152">
        <f t="shared" si="20"/>
        <v>0.31004658160343362</v>
      </c>
    </row>
    <row r="153" spans="1:17" x14ac:dyDescent="0.3">
      <c r="A153" s="2" t="s">
        <v>55</v>
      </c>
      <c r="B153" s="2" t="s">
        <v>21</v>
      </c>
      <c r="C153">
        <v>1622806</v>
      </c>
      <c r="D153">
        <v>174314</v>
      </c>
      <c r="E153">
        <v>190.36013176638099</v>
      </c>
      <c r="F153">
        <v>-4.8694974678610399E-2</v>
      </c>
      <c r="G153">
        <v>-4.5</v>
      </c>
      <c r="H153">
        <v>30.053334781570399</v>
      </c>
      <c r="I153">
        <v>174314</v>
      </c>
      <c r="J153">
        <v>1797120</v>
      </c>
      <c r="K153" s="1">
        <f t="shared" si="14"/>
        <v>9.6996305199430199E-2</v>
      </c>
      <c r="L153" s="1">
        <f t="shared" si="15"/>
        <v>0.31716665309470232</v>
      </c>
      <c r="M153" s="1">
        <f t="shared" si="16"/>
        <v>0.87310838291022674</v>
      </c>
      <c r="N153" s="1">
        <f t="shared" si="17"/>
        <v>0.69972889611961109</v>
      </c>
      <c r="O153" s="1">
        <f t="shared" si="18"/>
        <v>1.6717325227963528E-2</v>
      </c>
      <c r="P153" s="1">
        <f t="shared" si="19"/>
        <v>0.27919707353604811</v>
      </c>
      <c r="Q153">
        <f t="shared" si="20"/>
        <v>0.49882264341102595</v>
      </c>
    </row>
    <row r="154" spans="1:17" x14ac:dyDescent="0.3">
      <c r="A154" s="2" t="s">
        <v>55</v>
      </c>
      <c r="B154" s="2" t="s">
        <v>22</v>
      </c>
      <c r="C154">
        <v>4412857</v>
      </c>
      <c r="D154">
        <v>33894</v>
      </c>
      <c r="E154">
        <v>199.111666023125</v>
      </c>
      <c r="F154">
        <v>158.68718348266401</v>
      </c>
      <c r="G154">
        <v>5.55</v>
      </c>
      <c r="H154">
        <v>2.9807188541636198</v>
      </c>
      <c r="I154">
        <v>33894</v>
      </c>
      <c r="J154">
        <v>4446751</v>
      </c>
      <c r="K154" s="1">
        <f t="shared" si="14"/>
        <v>7.62219427172783E-3</v>
      </c>
      <c r="L154" s="1">
        <f t="shared" si="15"/>
        <v>0.88374729178389833</v>
      </c>
      <c r="M154" s="1">
        <f t="shared" si="16"/>
        <v>0.16454987208404609</v>
      </c>
      <c r="N154" s="1">
        <f t="shared" si="17"/>
        <v>0.74380969057942437</v>
      </c>
      <c r="O154" s="1">
        <f t="shared" si="18"/>
        <v>0.52583586626139811</v>
      </c>
      <c r="P154" s="1">
        <f t="shared" si="19"/>
        <v>0.73383913989260718</v>
      </c>
      <c r="Q154">
        <f t="shared" si="20"/>
        <v>0.62517845887666135</v>
      </c>
    </row>
    <row r="155" spans="1:17" x14ac:dyDescent="0.3">
      <c r="A155" s="2" t="s">
        <v>55</v>
      </c>
      <c r="B155" s="2" t="s">
        <v>23</v>
      </c>
      <c r="C155">
        <v>2967184</v>
      </c>
      <c r="D155">
        <v>33192</v>
      </c>
      <c r="E155">
        <v>162.57962335387299</v>
      </c>
      <c r="F155">
        <v>42.520451889364999</v>
      </c>
      <c r="G155">
        <v>1.18</v>
      </c>
      <c r="H155">
        <v>4.2829050256262002</v>
      </c>
      <c r="I155">
        <v>33192</v>
      </c>
      <c r="J155">
        <v>3000376</v>
      </c>
      <c r="K155" s="1">
        <f t="shared" si="14"/>
        <v>1.1062613485776449E-2</v>
      </c>
      <c r="L155" s="1">
        <f t="shared" si="15"/>
        <v>0.59017189417441873</v>
      </c>
      <c r="M155" s="1">
        <f t="shared" si="16"/>
        <v>0.16100758412933894</v>
      </c>
      <c r="N155" s="1">
        <f t="shared" si="17"/>
        <v>0.55980064521009754</v>
      </c>
      <c r="O155" s="1">
        <f t="shared" si="18"/>
        <v>0.30445795339412357</v>
      </c>
      <c r="P155" s="1">
        <f t="shared" si="19"/>
        <v>0.40112114691751483</v>
      </c>
      <c r="Q155">
        <f t="shared" si="20"/>
        <v>0.42933009806656464</v>
      </c>
    </row>
    <row r="156" spans="1:17" x14ac:dyDescent="0.3">
      <c r="A156" s="2" t="s">
        <v>55</v>
      </c>
      <c r="B156" s="2" t="s">
        <v>24</v>
      </c>
      <c r="C156">
        <v>3428907</v>
      </c>
      <c r="D156">
        <v>17524</v>
      </c>
      <c r="E156">
        <v>120.530485014787</v>
      </c>
      <c r="F156">
        <v>21.367354888975399</v>
      </c>
      <c r="G156">
        <v>5.17</v>
      </c>
      <c r="H156">
        <v>2.0033135153070698</v>
      </c>
      <c r="I156">
        <v>17524</v>
      </c>
      <c r="J156">
        <v>3446431</v>
      </c>
      <c r="K156" s="1">
        <f t="shared" si="14"/>
        <v>5.0846803548366412E-3</v>
      </c>
      <c r="L156" s="1">
        <f t="shared" si="15"/>
        <v>0.6839348082707889</v>
      </c>
      <c r="M156" s="1">
        <f t="shared" si="16"/>
        <v>8.1946946416587188E-2</v>
      </c>
      <c r="N156" s="1">
        <f t="shared" si="17"/>
        <v>0.34800241989787473</v>
      </c>
      <c r="O156" s="1">
        <f t="shared" si="18"/>
        <v>0.50658561296859161</v>
      </c>
      <c r="P156" s="1">
        <f t="shared" si="19"/>
        <v>0.34053567737174811</v>
      </c>
      <c r="Q156">
        <f t="shared" si="20"/>
        <v>0.41417653251253184</v>
      </c>
    </row>
    <row r="157" spans="1:17" x14ac:dyDescent="0.3">
      <c r="A157" s="2" t="s">
        <v>55</v>
      </c>
      <c r="B157" s="2" t="s">
        <v>25</v>
      </c>
      <c r="C157">
        <v>1243705</v>
      </c>
      <c r="D157">
        <v>30599</v>
      </c>
      <c r="E157">
        <v>165.3451609663</v>
      </c>
      <c r="F157">
        <v>-38.439813011297197</v>
      </c>
      <c r="G157">
        <v>2.48</v>
      </c>
      <c r="H157">
        <v>8.9595132424322905</v>
      </c>
      <c r="I157">
        <v>30599</v>
      </c>
      <c r="J157">
        <v>1274304</v>
      </c>
      <c r="K157" s="1">
        <f t="shared" si="14"/>
        <v>2.401232358997539E-2</v>
      </c>
      <c r="L157" s="1">
        <f t="shared" si="15"/>
        <v>0.24018193607422031</v>
      </c>
      <c r="M157" s="1">
        <f t="shared" si="16"/>
        <v>0.14792332107156733</v>
      </c>
      <c r="N157" s="1">
        <f t="shared" si="17"/>
        <v>0.57373044214488467</v>
      </c>
      <c r="O157" s="1">
        <f t="shared" si="18"/>
        <v>0.37031408308004049</v>
      </c>
      <c r="P157" s="1">
        <f t="shared" si="19"/>
        <v>0.16923946720574809</v>
      </c>
      <c r="Q157">
        <f t="shared" si="20"/>
        <v>0.28974595135142472</v>
      </c>
    </row>
    <row r="158" spans="1:17" x14ac:dyDescent="0.3">
      <c r="A158" s="2" t="s">
        <v>55</v>
      </c>
      <c r="B158" s="2" t="s">
        <v>26</v>
      </c>
      <c r="C158">
        <v>2255133</v>
      </c>
      <c r="D158">
        <v>5445</v>
      </c>
      <c r="E158">
        <v>198.975660207256</v>
      </c>
      <c r="F158">
        <v>33.756257124448602</v>
      </c>
      <c r="G158">
        <v>2.8</v>
      </c>
      <c r="H158">
        <v>0.95655828747079896</v>
      </c>
      <c r="I158">
        <v>5445</v>
      </c>
      <c r="J158">
        <v>2260578</v>
      </c>
      <c r="K158" s="1">
        <f t="shared" si="14"/>
        <v>2.4086760111794417E-3</v>
      </c>
      <c r="L158" s="1">
        <f t="shared" si="15"/>
        <v>0.4455744261140569</v>
      </c>
      <c r="M158" s="1">
        <f t="shared" si="16"/>
        <v>2.0996382022131731E-2</v>
      </c>
      <c r="N158" s="1">
        <f t="shared" si="17"/>
        <v>0.74312463990844735</v>
      </c>
      <c r="O158" s="1">
        <f t="shared" si="18"/>
        <v>0.38652482269503541</v>
      </c>
      <c r="P158" s="1">
        <f t="shared" si="19"/>
        <v>0.37601925025371985</v>
      </c>
      <c r="Q158">
        <f t="shared" si="20"/>
        <v>0.38607947992201785</v>
      </c>
    </row>
    <row r="159" spans="1:17" x14ac:dyDescent="0.3">
      <c r="A159" s="2" t="s">
        <v>55</v>
      </c>
      <c r="B159" s="2" t="s">
        <v>27</v>
      </c>
      <c r="C159">
        <v>1181059</v>
      </c>
      <c r="D159">
        <v>21042</v>
      </c>
      <c r="E159">
        <v>93.502958570036895</v>
      </c>
      <c r="F159">
        <v>-66.575804133419197</v>
      </c>
      <c r="G159">
        <v>-4.43</v>
      </c>
      <c r="H159">
        <v>6.6524030865607502</v>
      </c>
      <c r="I159">
        <v>21042</v>
      </c>
      <c r="J159">
        <v>1202101</v>
      </c>
      <c r="K159" s="1">
        <f t="shared" si="14"/>
        <v>1.7504352795646955E-2</v>
      </c>
      <c r="L159" s="1">
        <f t="shared" si="15"/>
        <v>0.2274603009889393</v>
      </c>
      <c r="M159" s="1">
        <f t="shared" si="16"/>
        <v>9.9698754144022766E-2</v>
      </c>
      <c r="N159" s="1">
        <f t="shared" si="17"/>
        <v>0.21186688034375614</v>
      </c>
      <c r="O159" s="1">
        <f t="shared" si="18"/>
        <v>2.0263424518743682E-2</v>
      </c>
      <c r="P159" s="1">
        <f t="shared" si="19"/>
        <v>8.8653998645854035E-2</v>
      </c>
      <c r="Q159">
        <f t="shared" si="20"/>
        <v>0.15780091226734541</v>
      </c>
    </row>
    <row r="160" spans="1:17" x14ac:dyDescent="0.3">
      <c r="A160" s="2" t="s">
        <v>55</v>
      </c>
      <c r="B160" s="2" t="s">
        <v>28</v>
      </c>
      <c r="C160">
        <v>3973205</v>
      </c>
      <c r="D160">
        <v>112627</v>
      </c>
      <c r="E160">
        <v>134.92967894910899</v>
      </c>
      <c r="F160">
        <v>63.939138623184697</v>
      </c>
      <c r="G160">
        <v>8.56</v>
      </c>
      <c r="H160">
        <v>10.1839337226443</v>
      </c>
      <c r="I160">
        <v>112627</v>
      </c>
      <c r="J160">
        <v>4085832</v>
      </c>
      <c r="K160" s="1">
        <f t="shared" si="14"/>
        <v>2.7565254763289339E-2</v>
      </c>
      <c r="L160" s="1">
        <f t="shared" si="15"/>
        <v>0.79446637506912055</v>
      </c>
      <c r="M160" s="1">
        <f t="shared" si="16"/>
        <v>0.56183613638313223</v>
      </c>
      <c r="N160" s="1">
        <f t="shared" si="17"/>
        <v>0.42053003500910058</v>
      </c>
      <c r="O160" s="1">
        <f t="shared" si="18"/>
        <v>0.67831813576494426</v>
      </c>
      <c r="P160" s="1">
        <f t="shared" si="19"/>
        <v>0.46246730312330586</v>
      </c>
      <c r="Q160">
        <f t="shared" si="20"/>
        <v>0.61670681626062041</v>
      </c>
    </row>
    <row r="161" spans="1:17" x14ac:dyDescent="0.3">
      <c r="A161" s="2" t="s">
        <v>55</v>
      </c>
      <c r="B161" s="2" t="s">
        <v>29</v>
      </c>
      <c r="C161">
        <v>3326189</v>
      </c>
      <c r="D161">
        <v>42185</v>
      </c>
      <c r="E161">
        <v>65.016533199698102</v>
      </c>
      <c r="F161">
        <v>-34.876344352480501</v>
      </c>
      <c r="G161">
        <v>7.97</v>
      </c>
      <c r="H161">
        <v>4.8281381395730696</v>
      </c>
      <c r="I161">
        <v>42185</v>
      </c>
      <c r="J161">
        <v>3368374</v>
      </c>
      <c r="K161" s="1">
        <f t="shared" si="14"/>
        <v>1.2523846817485232E-2</v>
      </c>
      <c r="L161" s="1">
        <f t="shared" si="15"/>
        <v>0.66307568059001287</v>
      </c>
      <c r="M161" s="1">
        <f t="shared" si="16"/>
        <v>0.20638621030694784</v>
      </c>
      <c r="N161" s="1">
        <f t="shared" si="17"/>
        <v>6.8382980857553677E-2</v>
      </c>
      <c r="O161" s="1">
        <f t="shared" si="18"/>
        <v>0.64842958459979738</v>
      </c>
      <c r="P161" s="1">
        <f t="shared" si="19"/>
        <v>0.17944574678277914</v>
      </c>
      <c r="Q161">
        <f t="shared" si="20"/>
        <v>0.38013717009300985</v>
      </c>
    </row>
    <row r="162" spans="1:17" x14ac:dyDescent="0.3">
      <c r="A162" s="2" t="s">
        <v>55</v>
      </c>
      <c r="B162" s="2" t="s">
        <v>30</v>
      </c>
      <c r="C162">
        <v>2956789</v>
      </c>
      <c r="D162">
        <v>139044</v>
      </c>
      <c r="E162">
        <v>237.93273086758799</v>
      </c>
      <c r="F162">
        <v>119.04148287654201</v>
      </c>
      <c r="G162">
        <v>9.9700000000000006</v>
      </c>
      <c r="H162">
        <v>15.8320962491798</v>
      </c>
      <c r="I162">
        <v>139044</v>
      </c>
      <c r="J162">
        <v>3095833</v>
      </c>
      <c r="K162" s="1">
        <f t="shared" si="14"/>
        <v>4.491327536078335E-2</v>
      </c>
      <c r="L162" s="1">
        <f t="shared" si="15"/>
        <v>0.58806096296234622</v>
      </c>
      <c r="M162" s="1">
        <f t="shared" si="16"/>
        <v>0.69513616615449825</v>
      </c>
      <c r="N162" s="1">
        <f t="shared" si="17"/>
        <v>0.93934836184739567</v>
      </c>
      <c r="O162" s="1">
        <f t="shared" si="18"/>
        <v>0.74974670719351566</v>
      </c>
      <c r="P162" s="1">
        <f t="shared" si="19"/>
        <v>0.62028823116994813</v>
      </c>
      <c r="Q162">
        <f t="shared" si="20"/>
        <v>0.70447854478127137</v>
      </c>
    </row>
    <row r="163" spans="1:17" x14ac:dyDescent="0.3">
      <c r="A163" s="2" t="s">
        <v>55</v>
      </c>
      <c r="B163" s="2" t="s">
        <v>31</v>
      </c>
      <c r="C163">
        <v>2933485</v>
      </c>
      <c r="D163">
        <v>126833</v>
      </c>
      <c r="E163">
        <v>145.44240173733499</v>
      </c>
      <c r="F163">
        <v>32.358626158497202</v>
      </c>
      <c r="G163">
        <v>2.0699999999999998</v>
      </c>
      <c r="H163">
        <v>14.7445214319738</v>
      </c>
      <c r="I163">
        <v>126833</v>
      </c>
      <c r="J163">
        <v>3060318</v>
      </c>
      <c r="K163" s="1">
        <f t="shared" si="14"/>
        <v>4.1444385844869716E-2</v>
      </c>
      <c r="L163" s="1">
        <f t="shared" si="15"/>
        <v>0.58332857806901883</v>
      </c>
      <c r="M163" s="1">
        <f t="shared" si="16"/>
        <v>0.63351953052069609</v>
      </c>
      <c r="N163" s="1">
        <f t="shared" si="17"/>
        <v>0.47348179853372807</v>
      </c>
      <c r="O163" s="1">
        <f t="shared" si="18"/>
        <v>0.34954407294832823</v>
      </c>
      <c r="P163" s="1">
        <f t="shared" si="19"/>
        <v>0.37201623696813296</v>
      </c>
      <c r="Q163">
        <f t="shared" si="20"/>
        <v>0.52939727565272232</v>
      </c>
    </row>
    <row r="164" spans="1:17" x14ac:dyDescent="0.3">
      <c r="A164" s="2" t="s">
        <v>55</v>
      </c>
      <c r="B164" s="2" t="s">
        <v>32</v>
      </c>
      <c r="C164">
        <v>243208</v>
      </c>
      <c r="D164">
        <v>73940</v>
      </c>
      <c r="E164">
        <v>86.0796851942941</v>
      </c>
      <c r="F164">
        <v>-91.881845665857099</v>
      </c>
      <c r="G164">
        <v>11.61</v>
      </c>
      <c r="H164">
        <v>54.875243057101699</v>
      </c>
      <c r="I164">
        <v>73940</v>
      </c>
      <c r="J164">
        <v>317148</v>
      </c>
      <c r="K164" s="1">
        <f t="shared" si="14"/>
        <v>0.23314036348960107</v>
      </c>
      <c r="L164" s="1">
        <f t="shared" si="15"/>
        <v>3.700922372357706E-2</v>
      </c>
      <c r="M164" s="1">
        <f t="shared" si="16"/>
        <v>0.36662175731795316</v>
      </c>
      <c r="N164" s="1">
        <f t="shared" si="17"/>
        <v>0.17447643218971265</v>
      </c>
      <c r="O164" s="1">
        <f t="shared" si="18"/>
        <v>0.83282674772036458</v>
      </c>
      <c r="P164" s="1">
        <f t="shared" si="19"/>
        <v>1.617390702810247E-2</v>
      </c>
      <c r="Q164">
        <f t="shared" si="20"/>
        <v>0.22440401954552952</v>
      </c>
    </row>
    <row r="165" spans="1:17" x14ac:dyDescent="0.3">
      <c r="A165" s="2" t="s">
        <v>55</v>
      </c>
      <c r="B165" s="2" t="s">
        <v>33</v>
      </c>
      <c r="C165">
        <v>360555</v>
      </c>
      <c r="D165">
        <v>195725</v>
      </c>
      <c r="E165">
        <v>207.26972028474799</v>
      </c>
      <c r="F165">
        <v>-65.713436090598194</v>
      </c>
      <c r="G165">
        <v>11.71</v>
      </c>
      <c r="H165">
        <v>68.467932712699593</v>
      </c>
      <c r="I165">
        <v>195725</v>
      </c>
      <c r="J165">
        <v>556280</v>
      </c>
      <c r="K165" s="1">
        <f t="shared" si="14"/>
        <v>0.35184619256489535</v>
      </c>
      <c r="L165" s="1">
        <f t="shared" si="15"/>
        <v>6.0839088556965799E-2</v>
      </c>
      <c r="M165" s="1">
        <f t="shared" si="16"/>
        <v>0.98114816552879491</v>
      </c>
      <c r="N165" s="1">
        <f t="shared" si="17"/>
        <v>0.78490117266115023</v>
      </c>
      <c r="O165" s="1">
        <f t="shared" si="18"/>
        <v>0.83789260385005049</v>
      </c>
      <c r="P165" s="1">
        <f t="shared" si="19"/>
        <v>9.1123943013556419E-2</v>
      </c>
      <c r="Q165">
        <f t="shared" si="20"/>
        <v>0.51646261159572748</v>
      </c>
    </row>
    <row r="166" spans="1:17" x14ac:dyDescent="0.3">
      <c r="A166" s="2" t="s">
        <v>55</v>
      </c>
      <c r="B166" s="2" t="s">
        <v>34</v>
      </c>
      <c r="C166">
        <v>3940246</v>
      </c>
      <c r="D166">
        <v>113164</v>
      </c>
      <c r="E166">
        <v>149.60243350660301</v>
      </c>
      <c r="F166">
        <v>80.324131436784398</v>
      </c>
      <c r="G166">
        <v>0.97</v>
      </c>
      <c r="H166">
        <v>10.3042590069161</v>
      </c>
      <c r="I166">
        <v>113164</v>
      </c>
      <c r="J166">
        <v>4053410</v>
      </c>
      <c r="K166" s="1">
        <f t="shared" si="14"/>
        <v>2.7918221941525777E-2</v>
      </c>
      <c r="L166" s="1">
        <f t="shared" si="15"/>
        <v>0.78777333208511879</v>
      </c>
      <c r="M166" s="1">
        <f t="shared" si="16"/>
        <v>0.56454583528865609</v>
      </c>
      <c r="N166" s="1">
        <f t="shared" si="17"/>
        <v>0.49443555361114033</v>
      </c>
      <c r="O166" s="1">
        <f t="shared" si="18"/>
        <v>0.29381965552178313</v>
      </c>
      <c r="P166" s="1">
        <f t="shared" si="19"/>
        <v>0.50939624610965295</v>
      </c>
      <c r="Q166">
        <f t="shared" si="20"/>
        <v>0.59606582593732726</v>
      </c>
    </row>
    <row r="167" spans="1:17" x14ac:dyDescent="0.3">
      <c r="A167" s="2" t="s">
        <v>55</v>
      </c>
      <c r="B167" s="2" t="s">
        <v>35</v>
      </c>
      <c r="C167">
        <v>995581</v>
      </c>
      <c r="D167">
        <v>170477</v>
      </c>
      <c r="E167">
        <v>142.35998552387599</v>
      </c>
      <c r="F167">
        <v>-50.636863755761503</v>
      </c>
      <c r="G167">
        <v>12.96</v>
      </c>
      <c r="H167">
        <v>40.650519913990401</v>
      </c>
      <c r="I167">
        <v>170477</v>
      </c>
      <c r="J167">
        <v>1166058</v>
      </c>
      <c r="K167" s="1">
        <f t="shared" si="14"/>
        <v>0.14619941718164964</v>
      </c>
      <c r="L167" s="1">
        <f t="shared" si="15"/>
        <v>0.18979495232585222</v>
      </c>
      <c r="M167" s="1">
        <f t="shared" si="16"/>
        <v>0.85374690302103673</v>
      </c>
      <c r="N167" s="1">
        <f t="shared" si="17"/>
        <v>0.45795590883725856</v>
      </c>
      <c r="O167" s="1">
        <f t="shared" si="18"/>
        <v>0.90121580547112445</v>
      </c>
      <c r="P167" s="1">
        <f t="shared" si="19"/>
        <v>0.13430538420063054</v>
      </c>
      <c r="Q167">
        <f t="shared" si="20"/>
        <v>0.47500825980393468</v>
      </c>
    </row>
    <row r="168" spans="1:17" x14ac:dyDescent="0.3">
      <c r="A168" s="2" t="s">
        <v>55</v>
      </c>
      <c r="B168" s="2" t="s">
        <v>36</v>
      </c>
      <c r="C168">
        <v>2499422</v>
      </c>
      <c r="D168">
        <v>99077</v>
      </c>
      <c r="E168">
        <v>117.991194147082</v>
      </c>
      <c r="F168">
        <v>-8.8268820934727703</v>
      </c>
      <c r="G168">
        <v>5.46</v>
      </c>
      <c r="H168">
        <v>13.685944476867601</v>
      </c>
      <c r="I168">
        <v>99077</v>
      </c>
      <c r="J168">
        <v>2598499</v>
      </c>
      <c r="K168" s="1">
        <f t="shared" si="14"/>
        <v>3.8128550366961847E-2</v>
      </c>
      <c r="L168" s="1">
        <f t="shared" si="15"/>
        <v>0.49518262956436837</v>
      </c>
      <c r="M168" s="1">
        <f t="shared" si="16"/>
        <v>0.49346291446535168</v>
      </c>
      <c r="N168" s="1">
        <f t="shared" si="17"/>
        <v>0.33521221014388464</v>
      </c>
      <c r="O168" s="1">
        <f t="shared" si="18"/>
        <v>0.52127659574468077</v>
      </c>
      <c r="P168" s="1">
        <f t="shared" si="19"/>
        <v>0.25405510078648103</v>
      </c>
      <c r="Q168">
        <f t="shared" si="20"/>
        <v>0.44125526064575993</v>
      </c>
    </row>
    <row r="169" spans="1:17" x14ac:dyDescent="0.3">
      <c r="A169" s="2" t="s">
        <v>55</v>
      </c>
      <c r="B169" s="2" t="s">
        <v>37</v>
      </c>
      <c r="C169">
        <v>3079453</v>
      </c>
      <c r="D169">
        <v>119070</v>
      </c>
      <c r="E169">
        <v>93.668233744137495</v>
      </c>
      <c r="F169">
        <v>-10.908460127868301</v>
      </c>
      <c r="G169">
        <v>-4.67</v>
      </c>
      <c r="H169">
        <v>13.3947065204277</v>
      </c>
      <c r="I169">
        <v>119070</v>
      </c>
      <c r="J169">
        <v>3198523</v>
      </c>
      <c r="K169" s="1">
        <f t="shared" si="14"/>
        <v>3.7226557382892038E-2</v>
      </c>
      <c r="L169" s="1">
        <f t="shared" si="15"/>
        <v>0.61297056048015919</v>
      </c>
      <c r="M169" s="1">
        <f t="shared" si="16"/>
        <v>0.594347477255181</v>
      </c>
      <c r="N169" s="1">
        <f t="shared" si="17"/>
        <v>0.21269935848588581</v>
      </c>
      <c r="O169" s="1">
        <f t="shared" si="18"/>
        <v>8.1053698074974728E-3</v>
      </c>
      <c r="P169" s="1">
        <f t="shared" si="19"/>
        <v>0.24809316610582011</v>
      </c>
      <c r="Q169">
        <f t="shared" si="20"/>
        <v>0.43128629077035985</v>
      </c>
    </row>
    <row r="170" spans="1:17" x14ac:dyDescent="0.3">
      <c r="A170" s="2" t="s">
        <v>55</v>
      </c>
      <c r="B170" s="2" t="s">
        <v>38</v>
      </c>
      <c r="C170">
        <v>1453778</v>
      </c>
      <c r="D170">
        <v>123706</v>
      </c>
      <c r="E170">
        <v>158.543604879669</v>
      </c>
      <c r="F170">
        <v>-22.194280973738099</v>
      </c>
      <c r="G170">
        <v>12.61</v>
      </c>
      <c r="H170">
        <v>25.393795141337201</v>
      </c>
      <c r="I170">
        <v>123706</v>
      </c>
      <c r="J170">
        <v>1577484</v>
      </c>
      <c r="K170" s="1">
        <f t="shared" si="14"/>
        <v>7.8419812815851059E-2</v>
      </c>
      <c r="L170" s="1">
        <f t="shared" si="15"/>
        <v>0.28284183530593882</v>
      </c>
      <c r="M170" s="1">
        <f t="shared" si="16"/>
        <v>0.61774070654011315</v>
      </c>
      <c r="N170" s="1">
        <f t="shared" si="17"/>
        <v>0.53947153541311588</v>
      </c>
      <c r="O170" s="1">
        <f t="shared" si="18"/>
        <v>0.88348530901722366</v>
      </c>
      <c r="P170" s="1">
        <f t="shared" si="19"/>
        <v>0.21576897475247686</v>
      </c>
      <c r="Q170">
        <f t="shared" si="20"/>
        <v>0.47124955445170014</v>
      </c>
    </row>
    <row r="171" spans="1:17" x14ac:dyDescent="0.3">
      <c r="A171" s="2" t="s">
        <v>55</v>
      </c>
      <c r="B171" s="2" t="s">
        <v>39</v>
      </c>
      <c r="C171">
        <v>1140764</v>
      </c>
      <c r="D171">
        <v>133663</v>
      </c>
      <c r="E171">
        <v>161.484337667045</v>
      </c>
      <c r="F171">
        <v>-35.975941720892799</v>
      </c>
      <c r="G171">
        <v>0.56000000000000005</v>
      </c>
      <c r="H171">
        <v>31.911596881013399</v>
      </c>
      <c r="I171">
        <v>133663</v>
      </c>
      <c r="J171">
        <v>1274427</v>
      </c>
      <c r="K171" s="1">
        <f t="shared" si="14"/>
        <v>0.10488086018265463</v>
      </c>
      <c r="L171" s="1">
        <f t="shared" si="15"/>
        <v>0.21927752338523915</v>
      </c>
      <c r="M171" s="1">
        <f t="shared" si="16"/>
        <v>0.66798367116264756</v>
      </c>
      <c r="N171" s="1">
        <f t="shared" si="17"/>
        <v>0.55428377675944451</v>
      </c>
      <c r="O171" s="1">
        <f t="shared" si="18"/>
        <v>0.27304964539007093</v>
      </c>
      <c r="P171" s="1">
        <f t="shared" si="19"/>
        <v>0.17629634398491359</v>
      </c>
      <c r="Q171">
        <f t="shared" si="20"/>
        <v>0.39953440526488299</v>
      </c>
    </row>
    <row r="172" spans="1:17" x14ac:dyDescent="0.3">
      <c r="A172" s="2" t="s">
        <v>55</v>
      </c>
      <c r="B172" s="2" t="s">
        <v>40</v>
      </c>
      <c r="C172">
        <v>1947125</v>
      </c>
      <c r="D172">
        <v>151431</v>
      </c>
      <c r="E172">
        <v>159.49062116998499</v>
      </c>
      <c r="F172">
        <v>4.1246467736499399</v>
      </c>
      <c r="G172">
        <v>6.14</v>
      </c>
      <c r="H172">
        <v>23.7273728293369</v>
      </c>
      <c r="I172">
        <v>151431</v>
      </c>
      <c r="J172">
        <v>2098556</v>
      </c>
      <c r="K172" s="1">
        <f t="shared" si="14"/>
        <v>7.2159618328031278E-2</v>
      </c>
      <c r="L172" s="1">
        <f t="shared" si="15"/>
        <v>0.38302669155243707</v>
      </c>
      <c r="M172" s="1">
        <f t="shared" si="16"/>
        <v>0.75764089677409585</v>
      </c>
      <c r="N172" s="1">
        <f t="shared" si="17"/>
        <v>0.54424158249501409</v>
      </c>
      <c r="O172" s="1">
        <f t="shared" si="18"/>
        <v>0.55572441742654499</v>
      </c>
      <c r="P172" s="1">
        <f t="shared" si="19"/>
        <v>0.29115011612800429</v>
      </c>
      <c r="Q172">
        <f t="shared" si="20"/>
        <v>0.5170053360913347</v>
      </c>
    </row>
    <row r="173" spans="1:17" x14ac:dyDescent="0.3">
      <c r="A173" s="2" t="s">
        <v>55</v>
      </c>
      <c r="B173" s="2" t="s">
        <v>41</v>
      </c>
      <c r="C173">
        <v>2035357</v>
      </c>
      <c r="D173">
        <v>153700</v>
      </c>
      <c r="E173">
        <v>156.551428309084</v>
      </c>
      <c r="F173">
        <v>6.6134342674928002</v>
      </c>
      <c r="G173">
        <v>11.32</v>
      </c>
      <c r="H173">
        <v>23.198625590861202</v>
      </c>
      <c r="I173">
        <v>153700</v>
      </c>
      <c r="J173">
        <v>2189057</v>
      </c>
      <c r="K173" s="1">
        <f t="shared" si="14"/>
        <v>7.0212881619802506E-2</v>
      </c>
      <c r="L173" s="1">
        <f t="shared" si="15"/>
        <v>0.4009441213459517</v>
      </c>
      <c r="M173" s="1">
        <f t="shared" si="16"/>
        <v>0.76909025769892569</v>
      </c>
      <c r="N173" s="1">
        <f t="shared" si="17"/>
        <v>0.5294370976380548</v>
      </c>
      <c r="O173" s="1">
        <f t="shared" si="18"/>
        <v>0.81813576494427542</v>
      </c>
      <c r="P173" s="1">
        <f t="shared" si="19"/>
        <v>0.29827835644720313</v>
      </c>
      <c r="Q173">
        <f t="shared" si="20"/>
        <v>0.55013183856257342</v>
      </c>
    </row>
    <row r="174" spans="1:17" x14ac:dyDescent="0.3">
      <c r="A174" s="2" t="s">
        <v>55</v>
      </c>
      <c r="B174" s="2" t="s">
        <v>42</v>
      </c>
      <c r="C174">
        <v>1498514</v>
      </c>
      <c r="D174">
        <v>67310</v>
      </c>
      <c r="E174">
        <v>240.76780021253899</v>
      </c>
      <c r="F174">
        <v>17.284110647343901</v>
      </c>
      <c r="G174">
        <v>11.02</v>
      </c>
      <c r="H174">
        <v>15.2306259807642</v>
      </c>
      <c r="I174">
        <v>67310</v>
      </c>
      <c r="J174">
        <v>1565824</v>
      </c>
      <c r="K174" s="1">
        <f t="shared" si="14"/>
        <v>4.2986951279326412E-2</v>
      </c>
      <c r="L174" s="1">
        <f t="shared" si="15"/>
        <v>0.29192645470981349</v>
      </c>
      <c r="M174" s="1">
        <f t="shared" si="16"/>
        <v>0.3331668155234967</v>
      </c>
      <c r="N174" s="1">
        <f t="shared" si="17"/>
        <v>0.95362838468771061</v>
      </c>
      <c r="O174" s="1">
        <f t="shared" si="18"/>
        <v>0.8029381965552177</v>
      </c>
      <c r="P174" s="1">
        <f t="shared" si="19"/>
        <v>0.32884068681576778</v>
      </c>
      <c r="Q174">
        <f t="shared" si="20"/>
        <v>0.48936952830394959</v>
      </c>
    </row>
    <row r="175" spans="1:17" x14ac:dyDescent="0.3">
      <c r="A175" s="2" t="s">
        <v>55</v>
      </c>
      <c r="B175" s="2" t="s">
        <v>43</v>
      </c>
      <c r="C175">
        <v>1421691</v>
      </c>
      <c r="D175">
        <v>149723</v>
      </c>
      <c r="E175">
        <v>109.201012591207</v>
      </c>
      <c r="F175">
        <v>-46.615508257070999</v>
      </c>
      <c r="G175">
        <v>6.48</v>
      </c>
      <c r="H175">
        <v>29.639564422743302</v>
      </c>
      <c r="I175">
        <v>149723</v>
      </c>
      <c r="J175">
        <v>1571414</v>
      </c>
      <c r="K175" s="1">
        <f t="shared" si="14"/>
        <v>9.5279156224903183E-2</v>
      </c>
      <c r="L175" s="1">
        <f t="shared" si="15"/>
        <v>0.27632587091904404</v>
      </c>
      <c r="M175" s="1">
        <f t="shared" si="16"/>
        <v>0.74902233861648926</v>
      </c>
      <c r="N175" s="1">
        <f t="shared" si="17"/>
        <v>0.29093675225712917</v>
      </c>
      <c r="O175" s="1">
        <f t="shared" si="18"/>
        <v>0.57294832826747721</v>
      </c>
      <c r="P175" s="1">
        <f t="shared" si="19"/>
        <v>0.14582311662033851</v>
      </c>
      <c r="Q175">
        <f t="shared" si="20"/>
        <v>0.41403413441599513</v>
      </c>
    </row>
    <row r="176" spans="1:17" x14ac:dyDescent="0.3">
      <c r="A176" s="2" t="s">
        <v>55</v>
      </c>
      <c r="B176" s="2" t="s">
        <v>44</v>
      </c>
      <c r="C176">
        <v>879747</v>
      </c>
      <c r="D176">
        <v>63566</v>
      </c>
      <c r="E176">
        <v>113.323997443054</v>
      </c>
      <c r="F176">
        <v>-66.743577113525006</v>
      </c>
      <c r="G176">
        <v>4.54</v>
      </c>
      <c r="H176">
        <v>22.421651994557301</v>
      </c>
      <c r="I176">
        <v>63566</v>
      </c>
      <c r="J176">
        <v>943313</v>
      </c>
      <c r="K176" s="1">
        <f t="shared" si="14"/>
        <v>6.7385904784520084E-2</v>
      </c>
      <c r="L176" s="1">
        <f t="shared" si="15"/>
        <v>0.16627233510418699</v>
      </c>
      <c r="M176" s="1">
        <f t="shared" si="16"/>
        <v>0.31427461309839183</v>
      </c>
      <c r="N176" s="1">
        <f t="shared" si="17"/>
        <v>0.31170390490526478</v>
      </c>
      <c r="O176" s="1">
        <f t="shared" si="18"/>
        <v>0.4746707193515704</v>
      </c>
      <c r="P176" s="1">
        <f t="shared" si="19"/>
        <v>8.8173473038818062E-2</v>
      </c>
      <c r="Q176">
        <f t="shared" si="20"/>
        <v>0.25538917078115519</v>
      </c>
    </row>
    <row r="177" spans="1:17" x14ac:dyDescent="0.3">
      <c r="A177" s="2" t="s">
        <v>55</v>
      </c>
      <c r="B177" s="2" t="s">
        <v>45</v>
      </c>
      <c r="C177">
        <v>4785625</v>
      </c>
      <c r="D177">
        <v>42005</v>
      </c>
      <c r="E177">
        <v>68.832947015409204</v>
      </c>
      <c r="F177">
        <v>3.3780105254970798</v>
      </c>
      <c r="G177">
        <v>7.22</v>
      </c>
      <c r="H177">
        <v>3.3918458024343598</v>
      </c>
      <c r="I177">
        <v>42005</v>
      </c>
      <c r="J177">
        <v>4827630</v>
      </c>
      <c r="K177" s="1">
        <f t="shared" si="14"/>
        <v>8.7009567841777428E-3</v>
      </c>
      <c r="L177" s="1">
        <f t="shared" si="15"/>
        <v>0.95944595518571218</v>
      </c>
      <c r="M177" s="1">
        <f t="shared" si="16"/>
        <v>0.20547793134420239</v>
      </c>
      <c r="N177" s="1">
        <f t="shared" si="17"/>
        <v>8.7605959143254031E-2</v>
      </c>
      <c r="O177" s="1">
        <f t="shared" si="18"/>
        <v>0.61043566362715296</v>
      </c>
      <c r="P177" s="1">
        <f t="shared" si="19"/>
        <v>0.28901164403224461</v>
      </c>
      <c r="Q177">
        <f t="shared" si="20"/>
        <v>0.49464148974564037</v>
      </c>
    </row>
    <row r="178" spans="1:17" x14ac:dyDescent="0.3">
      <c r="A178" s="2" t="s">
        <v>55</v>
      </c>
      <c r="B178" s="2" t="s">
        <v>46</v>
      </c>
      <c r="C178">
        <v>1669430</v>
      </c>
      <c r="D178">
        <v>101852</v>
      </c>
      <c r="E178">
        <v>189.523746077699</v>
      </c>
      <c r="F178">
        <v>4.4357452103802997</v>
      </c>
      <c r="G178">
        <v>-3.5</v>
      </c>
      <c r="H178">
        <v>19.616744300710899</v>
      </c>
      <c r="I178">
        <v>101852</v>
      </c>
      <c r="J178">
        <v>1771282</v>
      </c>
      <c r="K178" s="1">
        <f t="shared" si="14"/>
        <v>5.7501854588936148E-2</v>
      </c>
      <c r="L178" s="1">
        <f t="shared" si="15"/>
        <v>0.32663467202992791</v>
      </c>
      <c r="M178" s="1">
        <f t="shared" si="16"/>
        <v>0.50746554847434366</v>
      </c>
      <c r="N178" s="1">
        <f t="shared" si="17"/>
        <v>0.69551608673667242</v>
      </c>
      <c r="O178" s="1">
        <f t="shared" si="18"/>
        <v>6.7375886524822695E-2</v>
      </c>
      <c r="P178" s="1">
        <f t="shared" si="19"/>
        <v>0.29204114616790416</v>
      </c>
      <c r="Q178">
        <f t="shared" si="20"/>
        <v>0.41623344294566783</v>
      </c>
    </row>
    <row r="179" spans="1:17" x14ac:dyDescent="0.3">
      <c r="A179" s="2" t="s">
        <v>55</v>
      </c>
      <c r="B179" s="2" t="s">
        <v>47</v>
      </c>
      <c r="C179">
        <v>1614822</v>
      </c>
      <c r="D179">
        <v>175799</v>
      </c>
      <c r="E179">
        <v>238.297216440553</v>
      </c>
      <c r="F179">
        <v>32.745702952842599</v>
      </c>
      <c r="G179">
        <v>12.02</v>
      </c>
      <c r="H179">
        <v>30.3360888483178</v>
      </c>
      <c r="I179">
        <v>175799</v>
      </c>
      <c r="J179">
        <v>1790621</v>
      </c>
      <c r="K179" s="1">
        <f t="shared" si="14"/>
        <v>9.8177671321848681E-2</v>
      </c>
      <c r="L179" s="1">
        <f t="shared" si="15"/>
        <v>0.31554532795788781</v>
      </c>
      <c r="M179" s="1">
        <f t="shared" si="16"/>
        <v>0.88060168435287645</v>
      </c>
      <c r="N179" s="1">
        <f t="shared" si="17"/>
        <v>0.94118424720807481</v>
      </c>
      <c r="O179" s="1">
        <f t="shared" si="18"/>
        <v>0.853596757852077</v>
      </c>
      <c r="P179" s="1">
        <f t="shared" si="19"/>
        <v>0.3731248797987905</v>
      </c>
      <c r="Q179">
        <f t="shared" si="20"/>
        <v>0.64150029908018158</v>
      </c>
    </row>
    <row r="180" spans="1:17" x14ac:dyDescent="0.3">
      <c r="A180" s="2" t="s">
        <v>55</v>
      </c>
      <c r="B180" s="2" t="s">
        <v>48</v>
      </c>
      <c r="C180">
        <v>4575703</v>
      </c>
      <c r="D180">
        <v>89415</v>
      </c>
      <c r="E180">
        <v>145.31250870824701</v>
      </c>
      <c r="F180">
        <v>110.89363025950701</v>
      </c>
      <c r="G180">
        <v>-1</v>
      </c>
      <c r="H180">
        <v>7.2498212679666896</v>
      </c>
      <c r="I180">
        <v>89415</v>
      </c>
      <c r="J180">
        <v>4665118</v>
      </c>
      <c r="K180" s="1">
        <f t="shared" si="14"/>
        <v>1.9166717755049283E-2</v>
      </c>
      <c r="L180" s="1">
        <f t="shared" si="15"/>
        <v>0.91681671979363033</v>
      </c>
      <c r="M180" s="1">
        <f t="shared" si="16"/>
        <v>0.44470851814287227</v>
      </c>
      <c r="N180" s="1">
        <f t="shared" si="17"/>
        <v>0.47282753749229101</v>
      </c>
      <c r="O180" s="1">
        <f t="shared" si="18"/>
        <v>0.19402228976697061</v>
      </c>
      <c r="P180" s="1">
        <f t="shared" si="19"/>
        <v>0.59695162582163086</v>
      </c>
      <c r="Q180">
        <f t="shared" si="20"/>
        <v>0.605725880520807</v>
      </c>
    </row>
    <row r="181" spans="1:17" x14ac:dyDescent="0.3">
      <c r="A181" s="2" t="s">
        <v>55</v>
      </c>
      <c r="B181" s="2" t="s">
        <v>49</v>
      </c>
      <c r="C181">
        <v>3376993</v>
      </c>
      <c r="D181">
        <v>93000</v>
      </c>
      <c r="E181">
        <v>85.273947238510203</v>
      </c>
      <c r="F181">
        <v>-7.9459725714878404</v>
      </c>
      <c r="G181">
        <v>0.56999999999999995</v>
      </c>
      <c r="H181">
        <v>9.9226645661915001</v>
      </c>
      <c r="I181">
        <v>93000</v>
      </c>
      <c r="J181">
        <v>3469993</v>
      </c>
      <c r="K181" s="1">
        <f t="shared" si="14"/>
        <v>2.6801206803587212E-2</v>
      </c>
      <c r="L181" s="1">
        <f t="shared" si="15"/>
        <v>0.6733925395893523</v>
      </c>
      <c r="M181" s="1">
        <f t="shared" si="16"/>
        <v>0.46279840748421863</v>
      </c>
      <c r="N181" s="1">
        <f t="shared" si="17"/>
        <v>0.17041799304345551</v>
      </c>
      <c r="O181" s="1">
        <f t="shared" si="18"/>
        <v>0.2735562310030395</v>
      </c>
      <c r="P181" s="1">
        <f t="shared" si="19"/>
        <v>0.25657815057989003</v>
      </c>
      <c r="Q181">
        <f t="shared" si="20"/>
        <v>0.43848402749431192</v>
      </c>
    </row>
    <row r="182" spans="1:17" x14ac:dyDescent="0.3">
      <c r="A182" s="2" t="s">
        <v>56</v>
      </c>
      <c r="B182" s="2" t="s">
        <v>14</v>
      </c>
      <c r="C182">
        <v>4226642</v>
      </c>
      <c r="D182">
        <v>115327</v>
      </c>
      <c r="E182">
        <v>87.080308495984198</v>
      </c>
      <c r="F182">
        <v>0.732649527108028</v>
      </c>
      <c r="G182">
        <v>-4.24</v>
      </c>
      <c r="H182">
        <v>9.8402926652374703</v>
      </c>
      <c r="I182">
        <v>115327</v>
      </c>
      <c r="J182">
        <v>4341969</v>
      </c>
      <c r="K182" s="1">
        <f t="shared" si="14"/>
        <v>2.6560991107951255E-2</v>
      </c>
      <c r="L182" s="1">
        <f t="shared" si="15"/>
        <v>0.8459322792147701</v>
      </c>
      <c r="M182" s="1">
        <f t="shared" si="16"/>
        <v>0.57546032082431364</v>
      </c>
      <c r="N182" s="1">
        <f t="shared" si="17"/>
        <v>0.17951649360060304</v>
      </c>
      <c r="O182" s="1">
        <f t="shared" si="18"/>
        <v>2.9888551165146899E-2</v>
      </c>
      <c r="P182" s="1">
        <f t="shared" si="19"/>
        <v>0.2814349549922186</v>
      </c>
      <c r="Q182">
        <f t="shared" si="20"/>
        <v>0.50697702726710514</v>
      </c>
    </row>
    <row r="183" spans="1:17" x14ac:dyDescent="0.3">
      <c r="A183" s="2" t="s">
        <v>56</v>
      </c>
      <c r="B183" s="2" t="s">
        <v>15</v>
      </c>
      <c r="C183">
        <v>422861</v>
      </c>
      <c r="D183">
        <v>95475</v>
      </c>
      <c r="E183">
        <v>66.752068156562501</v>
      </c>
      <c r="F183">
        <v>-90.781936858931601</v>
      </c>
      <c r="G183">
        <v>4.74</v>
      </c>
      <c r="H183">
        <v>47.4550829376672</v>
      </c>
      <c r="I183">
        <v>95475</v>
      </c>
      <c r="J183">
        <v>518336</v>
      </c>
      <c r="K183" s="1">
        <f t="shared" si="14"/>
        <v>0.18419519385109273</v>
      </c>
      <c r="L183" s="1">
        <f t="shared" si="15"/>
        <v>7.3491679235117929E-2</v>
      </c>
      <c r="M183" s="1">
        <f t="shared" si="16"/>
        <v>0.47528724322196825</v>
      </c>
      <c r="N183" s="1">
        <f t="shared" si="17"/>
        <v>7.7124734870846381E-2</v>
      </c>
      <c r="O183" s="1">
        <f t="shared" si="18"/>
        <v>0.48480243161094222</v>
      </c>
      <c r="P183" s="1">
        <f t="shared" si="19"/>
        <v>1.9324201830035161E-2</v>
      </c>
      <c r="Q183">
        <f t="shared" si="20"/>
        <v>0.21038150885605034</v>
      </c>
    </row>
    <row r="184" spans="1:17" x14ac:dyDescent="0.3">
      <c r="A184" s="2" t="s">
        <v>56</v>
      </c>
      <c r="B184" s="2" t="s">
        <v>16</v>
      </c>
      <c r="C184">
        <v>3684212</v>
      </c>
      <c r="D184">
        <v>129700</v>
      </c>
      <c r="E184">
        <v>166.20729581594901</v>
      </c>
      <c r="F184">
        <v>68.882376448647904</v>
      </c>
      <c r="G184">
        <v>7.42</v>
      </c>
      <c r="H184">
        <v>12.343528878813499</v>
      </c>
      <c r="I184">
        <v>129700</v>
      </c>
      <c r="J184">
        <v>3813912</v>
      </c>
      <c r="K184" s="1">
        <f t="shared" si="14"/>
        <v>3.4007077247718356E-2</v>
      </c>
      <c r="L184" s="1">
        <f t="shared" si="15"/>
        <v>0.73578005051207596</v>
      </c>
      <c r="M184" s="1">
        <f t="shared" si="16"/>
        <v>0.64798639599953578</v>
      </c>
      <c r="N184" s="1">
        <f t="shared" si="17"/>
        <v>0.57807294804032061</v>
      </c>
      <c r="O184" s="1">
        <f t="shared" si="18"/>
        <v>0.62056737588652477</v>
      </c>
      <c r="P184" s="1">
        <f t="shared" si="19"/>
        <v>0.47662543725971951</v>
      </c>
      <c r="Q184">
        <f t="shared" si="20"/>
        <v>0.64485348760179906</v>
      </c>
    </row>
    <row r="185" spans="1:17" x14ac:dyDescent="0.3">
      <c r="A185" s="2" t="s">
        <v>56</v>
      </c>
      <c r="B185" s="2" t="s">
        <v>17</v>
      </c>
      <c r="C185">
        <v>1078860</v>
      </c>
      <c r="D185">
        <v>115410</v>
      </c>
      <c r="E185">
        <v>68.158791563046805</v>
      </c>
      <c r="F185">
        <v>-78.313573997602205</v>
      </c>
      <c r="G185">
        <v>-1.33</v>
      </c>
      <c r="H185">
        <v>29.966893865627998</v>
      </c>
      <c r="I185">
        <v>115410</v>
      </c>
      <c r="J185">
        <v>1194270</v>
      </c>
      <c r="K185" s="1">
        <f t="shared" si="14"/>
        <v>9.6636438996206886E-2</v>
      </c>
      <c r="L185" s="1">
        <f t="shared" si="15"/>
        <v>0.20670656756492764</v>
      </c>
      <c r="M185" s="1">
        <f t="shared" si="16"/>
        <v>0.575879138346024</v>
      </c>
      <c r="N185" s="1">
        <f t="shared" si="17"/>
        <v>8.4210290788685346E-2</v>
      </c>
      <c r="O185" s="1">
        <f t="shared" si="18"/>
        <v>0.17730496453900707</v>
      </c>
      <c r="P185" s="1">
        <f t="shared" si="19"/>
        <v>5.5035361212830397E-2</v>
      </c>
      <c r="Q185">
        <f t="shared" si="20"/>
        <v>0.25639317396715144</v>
      </c>
    </row>
    <row r="186" spans="1:17" x14ac:dyDescent="0.3">
      <c r="A186" s="2" t="s">
        <v>56</v>
      </c>
      <c r="B186" s="2" t="s">
        <v>18</v>
      </c>
      <c r="C186">
        <v>3753319</v>
      </c>
      <c r="D186">
        <v>127490</v>
      </c>
      <c r="E186">
        <v>125.051245758294</v>
      </c>
      <c r="F186">
        <v>29.292660183828399</v>
      </c>
      <c r="G186">
        <v>6.92</v>
      </c>
      <c r="H186">
        <v>11.961684890901999</v>
      </c>
      <c r="I186">
        <v>127490</v>
      </c>
      <c r="J186">
        <v>3880809</v>
      </c>
      <c r="K186" s="1">
        <f t="shared" si="14"/>
        <v>3.2851397736915165E-2</v>
      </c>
      <c r="L186" s="1">
        <f t="shared" si="15"/>
        <v>0.74981373240459126</v>
      </c>
      <c r="M186" s="1">
        <f t="shared" si="16"/>
        <v>0.6368347487347169</v>
      </c>
      <c r="N186" s="1">
        <f t="shared" si="17"/>
        <v>0.37077313864161482</v>
      </c>
      <c r="O186" s="1">
        <f t="shared" si="18"/>
        <v>0.59523809523809523</v>
      </c>
      <c r="P186" s="1">
        <f t="shared" si="19"/>
        <v>0.36323487562973261</v>
      </c>
      <c r="Q186">
        <f t="shared" si="20"/>
        <v>0.59164541834039186</v>
      </c>
    </row>
    <row r="187" spans="1:17" x14ac:dyDescent="0.3">
      <c r="A187" s="2" t="s">
        <v>56</v>
      </c>
      <c r="B187" s="2" t="s">
        <v>19</v>
      </c>
      <c r="C187">
        <v>691711</v>
      </c>
      <c r="D187">
        <v>104277</v>
      </c>
      <c r="E187">
        <v>149.751001271375</v>
      </c>
      <c r="F187">
        <v>-68.242973224989996</v>
      </c>
      <c r="G187">
        <v>2.6</v>
      </c>
      <c r="H187">
        <v>37.617320771018498</v>
      </c>
      <c r="I187">
        <v>104277</v>
      </c>
      <c r="J187">
        <v>795988</v>
      </c>
      <c r="K187" s="1">
        <f t="shared" si="14"/>
        <v>0.13100323120449053</v>
      </c>
      <c r="L187" s="1">
        <f t="shared" si="15"/>
        <v>0.12808752881334798</v>
      </c>
      <c r="M187" s="1">
        <f t="shared" si="16"/>
        <v>0.51970208450021949</v>
      </c>
      <c r="N187" s="1">
        <f t="shared" si="17"/>
        <v>0.49518387783751489</v>
      </c>
      <c r="O187" s="1">
        <f t="shared" si="18"/>
        <v>0.37639311043566359</v>
      </c>
      <c r="P187" s="1">
        <f t="shared" si="19"/>
        <v>8.3878989945088106E-2</v>
      </c>
      <c r="Q187">
        <f t="shared" si="20"/>
        <v>0.31982014181530483</v>
      </c>
    </row>
    <row r="188" spans="1:17" x14ac:dyDescent="0.3">
      <c r="A188" s="2" t="s">
        <v>56</v>
      </c>
      <c r="B188" s="2" t="s">
        <v>20</v>
      </c>
      <c r="C188">
        <v>528654</v>
      </c>
      <c r="D188">
        <v>133888</v>
      </c>
      <c r="E188">
        <v>209.04335121395999</v>
      </c>
      <c r="F188">
        <v>-63.101105634740897</v>
      </c>
      <c r="G188">
        <v>-0.98</v>
      </c>
      <c r="H188">
        <v>50.324091388321399</v>
      </c>
      <c r="I188">
        <v>133888</v>
      </c>
      <c r="J188">
        <v>662542</v>
      </c>
      <c r="K188" s="1">
        <f t="shared" si="14"/>
        <v>0.20208228308544968</v>
      </c>
      <c r="L188" s="1">
        <f t="shared" si="15"/>
        <v>9.497525265683894E-2</v>
      </c>
      <c r="M188" s="1">
        <f t="shared" si="16"/>
        <v>0.66911901986607936</v>
      </c>
      <c r="N188" s="1">
        <f t="shared" si="17"/>
        <v>0.79383481311144199</v>
      </c>
      <c r="O188" s="1">
        <f t="shared" si="18"/>
        <v>0.19503546099290778</v>
      </c>
      <c r="P188" s="1">
        <f t="shared" si="19"/>
        <v>9.8606027895685316E-2</v>
      </c>
      <c r="Q188">
        <f t="shared" si="20"/>
        <v>0.38865220490756114</v>
      </c>
    </row>
    <row r="189" spans="1:17" x14ac:dyDescent="0.3">
      <c r="A189" s="2" t="s">
        <v>56</v>
      </c>
      <c r="B189" s="2" t="s">
        <v>21</v>
      </c>
      <c r="C189">
        <v>4093228</v>
      </c>
      <c r="D189">
        <v>139896</v>
      </c>
      <c r="E189">
        <v>229.57040710359499</v>
      </c>
      <c r="F189">
        <v>158.90502197948501</v>
      </c>
      <c r="G189">
        <v>4.83</v>
      </c>
      <c r="H189">
        <v>12.0267915402556</v>
      </c>
      <c r="I189">
        <v>139896</v>
      </c>
      <c r="J189">
        <v>4233124</v>
      </c>
      <c r="K189" s="1">
        <f t="shared" si="14"/>
        <v>3.3047933393871763E-2</v>
      </c>
      <c r="L189" s="1">
        <f t="shared" si="15"/>
        <v>0.81883966000097064</v>
      </c>
      <c r="M189" s="1">
        <f t="shared" si="16"/>
        <v>0.69943535324482664</v>
      </c>
      <c r="N189" s="1">
        <f t="shared" si="17"/>
        <v>0.89722799023793443</v>
      </c>
      <c r="O189" s="1">
        <f t="shared" si="18"/>
        <v>0.48936170212765956</v>
      </c>
      <c r="P189" s="1">
        <f t="shared" si="19"/>
        <v>0.73446306023934416</v>
      </c>
      <c r="Q189">
        <f t="shared" si="20"/>
        <v>0.76328079359583367</v>
      </c>
    </row>
    <row r="190" spans="1:17" x14ac:dyDescent="0.3">
      <c r="A190" s="2" t="s">
        <v>56</v>
      </c>
      <c r="B190" s="2" t="s">
        <v>22</v>
      </c>
      <c r="C190">
        <v>2855675</v>
      </c>
      <c r="D190">
        <v>124282</v>
      </c>
      <c r="E190">
        <v>243.157871069951</v>
      </c>
      <c r="F190">
        <v>93.046489942720001</v>
      </c>
      <c r="G190">
        <v>-2.65</v>
      </c>
      <c r="H190">
        <v>14.827235599586301</v>
      </c>
      <c r="I190">
        <v>124282</v>
      </c>
      <c r="J190">
        <v>2979957</v>
      </c>
      <c r="K190" s="1">
        <f t="shared" si="14"/>
        <v>4.1705970925083817E-2</v>
      </c>
      <c r="L190" s="1">
        <f t="shared" si="15"/>
        <v>0.56752756242578994</v>
      </c>
      <c r="M190" s="1">
        <f t="shared" si="16"/>
        <v>0.6206471992208985</v>
      </c>
      <c r="N190" s="1">
        <f t="shared" si="17"/>
        <v>0.96566698490558434</v>
      </c>
      <c r="O190" s="1">
        <f t="shared" si="18"/>
        <v>0.11043566362715299</v>
      </c>
      <c r="P190" s="1">
        <f t="shared" si="19"/>
        <v>0.54583488503791433</v>
      </c>
      <c r="Q190">
        <f t="shared" si="20"/>
        <v>0.61255689850187478</v>
      </c>
    </row>
    <row r="191" spans="1:17" x14ac:dyDescent="0.3">
      <c r="A191" s="2" t="s">
        <v>56</v>
      </c>
      <c r="B191" s="2" t="s">
        <v>23</v>
      </c>
      <c r="C191">
        <v>2715844</v>
      </c>
      <c r="D191">
        <v>102650</v>
      </c>
      <c r="E191">
        <v>244.03103217533899</v>
      </c>
      <c r="F191">
        <v>83.242307179965294</v>
      </c>
      <c r="G191">
        <v>3.96</v>
      </c>
      <c r="H191">
        <v>13.133131442622901</v>
      </c>
      <c r="I191">
        <v>102650</v>
      </c>
      <c r="J191">
        <v>2818494</v>
      </c>
      <c r="K191" s="1">
        <f t="shared" si="14"/>
        <v>3.6420159134630058E-2</v>
      </c>
      <c r="L191" s="1">
        <f t="shared" si="15"/>
        <v>0.53913183156332578</v>
      </c>
      <c r="M191" s="1">
        <f t="shared" si="16"/>
        <v>0.51149225187584835</v>
      </c>
      <c r="N191" s="1">
        <f t="shared" si="17"/>
        <v>0.97006502918990523</v>
      </c>
      <c r="O191" s="1">
        <f t="shared" si="18"/>
        <v>0.44528875379939203</v>
      </c>
      <c r="P191" s="1">
        <f t="shared" si="19"/>
        <v>0.51775431526682758</v>
      </c>
      <c r="Q191">
        <f t="shared" si="20"/>
        <v>0.60688651676072913</v>
      </c>
    </row>
    <row r="192" spans="1:17" x14ac:dyDescent="0.3">
      <c r="A192" s="2" t="s">
        <v>56</v>
      </c>
      <c r="B192" s="2" t="s">
        <v>24</v>
      </c>
      <c r="C192">
        <v>897483</v>
      </c>
      <c r="D192">
        <v>17878</v>
      </c>
      <c r="E192">
        <v>170.096825187002</v>
      </c>
      <c r="F192">
        <v>-58.518715865192497</v>
      </c>
      <c r="G192">
        <v>10.53</v>
      </c>
      <c r="H192">
        <v>7.3800174407504597</v>
      </c>
      <c r="I192">
        <v>17878</v>
      </c>
      <c r="J192">
        <v>915361</v>
      </c>
      <c r="K192" s="1">
        <f t="shared" si="14"/>
        <v>1.9531092104645053E-2</v>
      </c>
      <c r="L192" s="1">
        <f t="shared" si="15"/>
        <v>0.16987401629488622</v>
      </c>
      <c r="M192" s="1">
        <f t="shared" si="16"/>
        <v>8.3733228376653188E-2</v>
      </c>
      <c r="N192" s="1">
        <f t="shared" si="17"/>
        <v>0.59766420366714623</v>
      </c>
      <c r="O192" s="1">
        <f t="shared" si="18"/>
        <v>0.77811550151975672</v>
      </c>
      <c r="P192" s="1">
        <f t="shared" si="19"/>
        <v>0.11173064202782371</v>
      </c>
      <c r="Q192">
        <f t="shared" si="20"/>
        <v>0.28890666788556074</v>
      </c>
    </row>
    <row r="193" spans="1:17" x14ac:dyDescent="0.3">
      <c r="A193" s="2" t="s">
        <v>56</v>
      </c>
      <c r="B193" s="2" t="s">
        <v>25</v>
      </c>
      <c r="C193">
        <v>570707</v>
      </c>
      <c r="D193">
        <v>126669</v>
      </c>
      <c r="E193">
        <v>133.787225255816</v>
      </c>
      <c r="F193">
        <v>-75.143199680298395</v>
      </c>
      <c r="G193">
        <v>3.06</v>
      </c>
      <c r="H193">
        <v>47.0284012277899</v>
      </c>
      <c r="I193">
        <v>126669</v>
      </c>
      <c r="J193">
        <v>697376</v>
      </c>
      <c r="K193" s="1">
        <f t="shared" si="14"/>
        <v>0.18163659202496216</v>
      </c>
      <c r="L193" s="1">
        <f t="shared" si="15"/>
        <v>0.10351503045975249</v>
      </c>
      <c r="M193" s="1">
        <f t="shared" si="16"/>
        <v>0.63269198746575028</v>
      </c>
      <c r="N193" s="1">
        <f t="shared" si="17"/>
        <v>0.41477558499422518</v>
      </c>
      <c r="O193" s="1">
        <f t="shared" si="18"/>
        <v>0.39969604863221886</v>
      </c>
      <c r="P193" s="1">
        <f t="shared" si="19"/>
        <v>6.4115762850763286E-2</v>
      </c>
      <c r="Q193">
        <f t="shared" si="20"/>
        <v>0.32373955567449419</v>
      </c>
    </row>
    <row r="194" spans="1:17" x14ac:dyDescent="0.3">
      <c r="A194" s="2" t="s">
        <v>56</v>
      </c>
      <c r="B194" s="2" t="s">
        <v>26</v>
      </c>
      <c r="C194">
        <v>2301105</v>
      </c>
      <c r="D194">
        <v>13201</v>
      </c>
      <c r="E194">
        <v>72.289489808175702</v>
      </c>
      <c r="F194">
        <v>-49.583124058262101</v>
      </c>
      <c r="G194">
        <v>-4.07</v>
      </c>
      <c r="H194">
        <v>2.2432472963058401</v>
      </c>
      <c r="I194">
        <v>13201</v>
      </c>
      <c r="J194">
        <v>2314306</v>
      </c>
      <c r="K194" s="1">
        <f t="shared" si="14"/>
        <v>5.7040858036923377E-3</v>
      </c>
      <c r="L194" s="1">
        <f t="shared" si="15"/>
        <v>0.45491004224502357</v>
      </c>
      <c r="M194" s="1">
        <f t="shared" si="16"/>
        <v>6.0133113327984579E-2</v>
      </c>
      <c r="N194" s="1">
        <f t="shared" si="17"/>
        <v>0.10501629519628079</v>
      </c>
      <c r="O194" s="1">
        <f t="shared" si="18"/>
        <v>3.8500506585612951E-2</v>
      </c>
      <c r="P194" s="1">
        <f t="shared" si="19"/>
        <v>0.13732344412589062</v>
      </c>
      <c r="Q194">
        <f t="shared" si="20"/>
        <v>0.21283744722816086</v>
      </c>
    </row>
    <row r="195" spans="1:17" x14ac:dyDescent="0.3">
      <c r="A195" s="2" t="s">
        <v>56</v>
      </c>
      <c r="B195" s="2" t="s">
        <v>27</v>
      </c>
      <c r="C195">
        <v>83443</v>
      </c>
      <c r="D195">
        <v>16945</v>
      </c>
      <c r="E195">
        <v>81.683069689604295</v>
      </c>
      <c r="F195">
        <v>-97.528879959819093</v>
      </c>
      <c r="G195">
        <v>4.66</v>
      </c>
      <c r="H195">
        <v>44.821224284665597</v>
      </c>
      <c r="I195">
        <v>16945</v>
      </c>
      <c r="J195">
        <v>100388</v>
      </c>
      <c r="K195" s="1">
        <f t="shared" ref="K195:K258" si="21">I195/J195</f>
        <v>0.16879507510857872</v>
      </c>
      <c r="L195" s="1">
        <f t="shared" ref="L195:L258" si="22">(C195-$A$435)/($A$436-$A$435)</f>
        <v>4.5654598855040659E-3</v>
      </c>
      <c r="M195" s="1">
        <f t="shared" ref="M195:M258" si="23">(D195-$B$435)/($B$436-$B$435)</f>
        <v>7.9025315753089409E-2</v>
      </c>
      <c r="N195" s="1">
        <f t="shared" ref="N195:N258" si="24">(E195-$C$435)/($C$436-$C$435)</f>
        <v>0.1523310233167815</v>
      </c>
      <c r="O195" s="1">
        <f t="shared" ref="O195:O258" si="25">(G195-$E$435)/($E$436-$E$435)</f>
        <v>0.4807497467071935</v>
      </c>
      <c r="P195" s="1">
        <f t="shared" ref="P195:P258" si="26">(F195-$D$435)/($D$436-$D$435)</f>
        <v>0</v>
      </c>
      <c r="Q195">
        <f t="shared" ref="Q195:Q258" si="27">(0.35)*(L195)+(0.25)*(M195)+(0.2)*(N195)+(0.1)*(O195)+(0.1)*(P195)</f>
        <v>9.9895419232274435E-2</v>
      </c>
    </row>
    <row r="196" spans="1:17" x14ac:dyDescent="0.3">
      <c r="A196" s="2" t="s">
        <v>56</v>
      </c>
      <c r="B196" s="2" t="s">
        <v>28</v>
      </c>
      <c r="C196">
        <v>1290729</v>
      </c>
      <c r="D196">
        <v>170597</v>
      </c>
      <c r="E196">
        <v>89.576179442506302</v>
      </c>
      <c r="F196">
        <v>-60.552486187845297</v>
      </c>
      <c r="G196">
        <v>-0.71</v>
      </c>
      <c r="H196">
        <v>34.584264389795401</v>
      </c>
      <c r="I196">
        <v>170597</v>
      </c>
      <c r="J196">
        <v>1461326</v>
      </c>
      <c r="K196" s="1">
        <f t="shared" si="21"/>
        <v>0.11674123364670169</v>
      </c>
      <c r="L196" s="1">
        <f t="shared" si="22"/>
        <v>0.24973118372371514</v>
      </c>
      <c r="M196" s="1">
        <f t="shared" si="23"/>
        <v>0.85435242232953368</v>
      </c>
      <c r="N196" s="1">
        <f t="shared" si="24"/>
        <v>0.19208800060316983</v>
      </c>
      <c r="O196" s="1">
        <f t="shared" si="25"/>
        <v>0.20871327254305977</v>
      </c>
      <c r="P196" s="1">
        <f t="shared" si="26"/>
        <v>0.10590563541324165</v>
      </c>
      <c r="Q196">
        <f t="shared" si="27"/>
        <v>0.37087351080194775</v>
      </c>
    </row>
    <row r="197" spans="1:17" x14ac:dyDescent="0.3">
      <c r="A197" s="2" t="s">
        <v>56</v>
      </c>
      <c r="B197" s="2" t="s">
        <v>29</v>
      </c>
      <c r="C197">
        <v>3979850</v>
      </c>
      <c r="D197">
        <v>90171</v>
      </c>
      <c r="E197">
        <v>249.97414018256899</v>
      </c>
      <c r="F197">
        <v>206.599698643897</v>
      </c>
      <c r="G197">
        <v>9.75</v>
      </c>
      <c r="H197">
        <v>8.3096688103353102</v>
      </c>
      <c r="I197">
        <v>90171</v>
      </c>
      <c r="J197">
        <v>4070021</v>
      </c>
      <c r="K197" s="1">
        <f t="shared" si="21"/>
        <v>2.2154922542168703E-2</v>
      </c>
      <c r="L197" s="1">
        <f t="shared" si="22"/>
        <v>0.79581578708491874</v>
      </c>
      <c r="M197" s="1">
        <f t="shared" si="23"/>
        <v>0.44852328978640305</v>
      </c>
      <c r="N197" s="1">
        <f t="shared" si="24"/>
        <v>1</v>
      </c>
      <c r="O197" s="1">
        <f t="shared" si="25"/>
        <v>0.7386018237082066</v>
      </c>
      <c r="P197" s="1">
        <f t="shared" si="26"/>
        <v>0.87106737782431543</v>
      </c>
      <c r="Q197">
        <f t="shared" si="27"/>
        <v>0.75163326807957453</v>
      </c>
    </row>
    <row r="198" spans="1:17" x14ac:dyDescent="0.3">
      <c r="A198" s="2" t="s">
        <v>56</v>
      </c>
      <c r="B198" s="2" t="s">
        <v>30</v>
      </c>
      <c r="C198">
        <v>2657515</v>
      </c>
      <c r="D198">
        <v>97276</v>
      </c>
      <c r="E198">
        <v>87.447650293615695</v>
      </c>
      <c r="F198">
        <v>-27.403314917126998</v>
      </c>
      <c r="G198">
        <v>-3.97</v>
      </c>
      <c r="H198">
        <v>12.771665902431501</v>
      </c>
      <c r="I198">
        <v>97276</v>
      </c>
      <c r="J198">
        <v>2754791</v>
      </c>
      <c r="K198" s="1">
        <f t="shared" si="21"/>
        <v>3.5311571730849999E-2</v>
      </c>
      <c r="L198" s="1">
        <f t="shared" si="22"/>
        <v>0.52728685737679581</v>
      </c>
      <c r="M198" s="1">
        <f t="shared" si="23"/>
        <v>0.48437507884365993</v>
      </c>
      <c r="N198" s="1">
        <f t="shared" si="24"/>
        <v>0.18136676554182457</v>
      </c>
      <c r="O198" s="1">
        <f t="shared" si="25"/>
        <v>4.3566362715298873E-2</v>
      </c>
      <c r="P198" s="1">
        <f t="shared" si="26"/>
        <v>0.20084956284157607</v>
      </c>
      <c r="Q198">
        <f t="shared" si="27"/>
        <v>0.36635911545684596</v>
      </c>
    </row>
    <row r="199" spans="1:17" x14ac:dyDescent="0.3">
      <c r="A199" s="2" t="s">
        <v>56</v>
      </c>
      <c r="B199" s="2" t="s">
        <v>31</v>
      </c>
      <c r="C199">
        <v>3315639</v>
      </c>
      <c r="D199">
        <v>195217</v>
      </c>
      <c r="E199">
        <v>114.331091904652</v>
      </c>
      <c r="F199">
        <v>20.964339527875399</v>
      </c>
      <c r="G199">
        <v>-1.86</v>
      </c>
      <c r="H199">
        <v>19.061800699962099</v>
      </c>
      <c r="I199">
        <v>195217</v>
      </c>
      <c r="J199">
        <v>3510856</v>
      </c>
      <c r="K199" s="1">
        <f t="shared" si="21"/>
        <v>5.5603818555930516E-2</v>
      </c>
      <c r="L199" s="1">
        <f t="shared" si="22"/>
        <v>0.66093327325116102</v>
      </c>
      <c r="M199" s="1">
        <f t="shared" si="23"/>
        <v>0.97858480045615792</v>
      </c>
      <c r="N199" s="1">
        <f t="shared" si="24"/>
        <v>0.31677656104314234</v>
      </c>
      <c r="O199" s="1">
        <f t="shared" si="25"/>
        <v>0.15045592705167171</v>
      </c>
      <c r="P199" s="1">
        <f t="shared" si="26"/>
        <v>0.33938138422564518</v>
      </c>
      <c r="Q199">
        <f t="shared" si="27"/>
        <v>0.58831188908830601</v>
      </c>
    </row>
    <row r="200" spans="1:17" x14ac:dyDescent="0.3">
      <c r="A200" s="2" t="s">
        <v>56</v>
      </c>
      <c r="B200" s="2" t="s">
        <v>32</v>
      </c>
      <c r="C200">
        <v>2038398</v>
      </c>
      <c r="D200">
        <v>199461</v>
      </c>
      <c r="E200">
        <v>87.539027257749396</v>
      </c>
      <c r="F200">
        <v>-40.964339527875403</v>
      </c>
      <c r="G200">
        <v>11.39</v>
      </c>
      <c r="H200">
        <v>28.130321742643901</v>
      </c>
      <c r="I200">
        <v>199461</v>
      </c>
      <c r="J200">
        <v>2237859</v>
      </c>
      <c r="K200" s="1">
        <f t="shared" si="21"/>
        <v>8.9130280325972283E-2</v>
      </c>
      <c r="L200" s="1">
        <f t="shared" si="22"/>
        <v>0.40156166264618376</v>
      </c>
      <c r="M200" s="1">
        <f t="shared" si="23"/>
        <v>1</v>
      </c>
      <c r="N200" s="1">
        <f t="shared" si="24"/>
        <v>0.1818270241726167</v>
      </c>
      <c r="O200" s="1">
        <f t="shared" si="25"/>
        <v>0.82168186423505563</v>
      </c>
      <c r="P200" s="1">
        <f t="shared" si="26"/>
        <v>0.16200886525725741</v>
      </c>
      <c r="Q200">
        <f t="shared" si="27"/>
        <v>0.5252810597099189</v>
      </c>
    </row>
    <row r="201" spans="1:17" x14ac:dyDescent="0.3">
      <c r="A201" s="2" t="s">
        <v>56</v>
      </c>
      <c r="B201" s="2" t="s">
        <v>33</v>
      </c>
      <c r="C201">
        <v>2046460</v>
      </c>
      <c r="D201">
        <v>105334</v>
      </c>
      <c r="E201">
        <v>193.23411070018699</v>
      </c>
      <c r="F201">
        <v>25.3038674033149</v>
      </c>
      <c r="G201">
        <v>8.84</v>
      </c>
      <c r="H201">
        <v>17.073372353306301</v>
      </c>
      <c r="I201">
        <v>105334</v>
      </c>
      <c r="J201">
        <v>2151794</v>
      </c>
      <c r="K201" s="1">
        <f t="shared" si="21"/>
        <v>4.8951711920378997E-2</v>
      </c>
      <c r="L201" s="1">
        <f t="shared" si="22"/>
        <v>0.4031988273822808</v>
      </c>
      <c r="M201" s="1">
        <f t="shared" si="23"/>
        <v>0.52503570040923009</v>
      </c>
      <c r="N201" s="1">
        <f t="shared" si="24"/>
        <v>0.71420490351972032</v>
      </c>
      <c r="O201" s="1">
        <f t="shared" si="25"/>
        <v>0.69250253292806474</v>
      </c>
      <c r="P201" s="1">
        <f t="shared" si="26"/>
        <v>0.35181040745262721</v>
      </c>
      <c r="Q201">
        <f t="shared" si="27"/>
        <v>0.51965078942811904</v>
      </c>
    </row>
    <row r="202" spans="1:17" x14ac:dyDescent="0.3">
      <c r="A202" s="2" t="s">
        <v>56</v>
      </c>
      <c r="B202" s="2" t="s">
        <v>34</v>
      </c>
      <c r="C202">
        <v>849950</v>
      </c>
      <c r="D202">
        <v>13198</v>
      </c>
      <c r="E202">
        <v>156.05666699106001</v>
      </c>
      <c r="F202">
        <v>-59.407332998493203</v>
      </c>
      <c r="G202">
        <v>11.24</v>
      </c>
      <c r="H202">
        <v>5.84796098996169</v>
      </c>
      <c r="I202">
        <v>13198</v>
      </c>
      <c r="J202">
        <v>863148</v>
      </c>
      <c r="K202" s="1">
        <f t="shared" si="21"/>
        <v>1.5290541135471554E-2</v>
      </c>
      <c r="L202" s="1">
        <f t="shared" si="22"/>
        <v>0.16022140510648375</v>
      </c>
      <c r="M202" s="1">
        <f t="shared" si="23"/>
        <v>6.0117975345272155E-2</v>
      </c>
      <c r="N202" s="1">
        <f t="shared" si="24"/>
        <v>0.526945023525487</v>
      </c>
      <c r="O202" s="1">
        <f t="shared" si="25"/>
        <v>0.81408308004052676</v>
      </c>
      <c r="P202" s="1">
        <f t="shared" si="26"/>
        <v>0.10918551654258413</v>
      </c>
      <c r="Q202">
        <f t="shared" si="27"/>
        <v>0.26882284998699585</v>
      </c>
    </row>
    <row r="203" spans="1:17" x14ac:dyDescent="0.3">
      <c r="A203" s="2" t="s">
        <v>56</v>
      </c>
      <c r="B203" s="2" t="s">
        <v>35</v>
      </c>
      <c r="C203">
        <v>1045819</v>
      </c>
      <c r="D203">
        <v>114752</v>
      </c>
      <c r="E203">
        <v>112.96163698731</v>
      </c>
      <c r="F203">
        <v>-60.492214967353</v>
      </c>
      <c r="G203">
        <v>-4.76</v>
      </c>
      <c r="H203">
        <v>30.502376685160399</v>
      </c>
      <c r="I203">
        <v>114752</v>
      </c>
      <c r="J203">
        <v>1160571</v>
      </c>
      <c r="K203" s="1">
        <f t="shared" si="21"/>
        <v>9.8875467334613734E-2</v>
      </c>
      <c r="L203" s="1">
        <f t="shared" si="22"/>
        <v>0.19999687269450064</v>
      </c>
      <c r="M203" s="1">
        <f t="shared" si="23"/>
        <v>0.57255887413776574</v>
      </c>
      <c r="N203" s="1">
        <f t="shared" si="24"/>
        <v>0.30987872359403285</v>
      </c>
      <c r="O203" s="1">
        <f t="shared" si="25"/>
        <v>3.5460992907801561E-3</v>
      </c>
      <c r="P203" s="1">
        <f t="shared" si="26"/>
        <v>0.10607826073583886</v>
      </c>
      <c r="Q203">
        <f t="shared" si="27"/>
        <v>0.28607680469898517</v>
      </c>
    </row>
    <row r="204" spans="1:17" x14ac:dyDescent="0.3">
      <c r="A204" s="2" t="s">
        <v>56</v>
      </c>
      <c r="B204" s="2" t="s">
        <v>36</v>
      </c>
      <c r="C204">
        <v>4002187</v>
      </c>
      <c r="D204">
        <v>131300</v>
      </c>
      <c r="E204">
        <v>187.37206624818199</v>
      </c>
      <c r="F204">
        <v>133.40030135610201</v>
      </c>
      <c r="G204">
        <v>5.96</v>
      </c>
      <c r="H204">
        <v>11.600510404787499</v>
      </c>
      <c r="I204">
        <v>131300</v>
      </c>
      <c r="J204">
        <v>4133487</v>
      </c>
      <c r="K204" s="1">
        <f t="shared" si="21"/>
        <v>3.176494809346201E-2</v>
      </c>
      <c r="L204" s="1">
        <f t="shared" si="22"/>
        <v>0.80035180156150021</v>
      </c>
      <c r="M204" s="1">
        <f t="shared" si="23"/>
        <v>0.65605998677949506</v>
      </c>
      <c r="N204" s="1">
        <f t="shared" si="24"/>
        <v>0.68467824350533568</v>
      </c>
      <c r="O204" s="1">
        <f t="shared" si="25"/>
        <v>0.54660587639311031</v>
      </c>
      <c r="P204" s="1">
        <f t="shared" si="26"/>
        <v>0.66141392353029393</v>
      </c>
      <c r="Q204">
        <f t="shared" si="27"/>
        <v>0.70187575593480633</v>
      </c>
    </row>
    <row r="205" spans="1:17" x14ac:dyDescent="0.3">
      <c r="A205" s="2" t="s">
        <v>56</v>
      </c>
      <c r="B205" s="2" t="s">
        <v>37</v>
      </c>
      <c r="C205">
        <v>2641380</v>
      </c>
      <c r="D205">
        <v>115198</v>
      </c>
      <c r="E205">
        <v>132.011501216363</v>
      </c>
      <c r="F205">
        <v>9.6634856855851403</v>
      </c>
      <c r="G205">
        <v>12.07</v>
      </c>
      <c r="H205">
        <v>14.853850785836499</v>
      </c>
      <c r="I205">
        <v>115198</v>
      </c>
      <c r="J205">
        <v>2756578</v>
      </c>
      <c r="K205" s="1">
        <f t="shared" si="21"/>
        <v>4.1790219612867836E-2</v>
      </c>
      <c r="L205" s="1">
        <f t="shared" si="22"/>
        <v>0.52401029411495936</v>
      </c>
      <c r="M205" s="1">
        <f t="shared" si="23"/>
        <v>0.57480938756767941</v>
      </c>
      <c r="N205" s="1">
        <f t="shared" si="24"/>
        <v>0.40583140171114462</v>
      </c>
      <c r="O205" s="1">
        <f t="shared" si="25"/>
        <v>0.85612968591691985</v>
      </c>
      <c r="P205" s="1">
        <f t="shared" si="26"/>
        <v>0.30701413623871321</v>
      </c>
      <c r="Q205">
        <f t="shared" si="27"/>
        <v>0.52458661238994786</v>
      </c>
    </row>
    <row r="206" spans="1:17" x14ac:dyDescent="0.3">
      <c r="A206" s="2" t="s">
        <v>56</v>
      </c>
      <c r="B206" s="2" t="s">
        <v>38</v>
      </c>
      <c r="C206">
        <v>3645491</v>
      </c>
      <c r="D206">
        <v>49562</v>
      </c>
      <c r="E206">
        <v>105.302955059101</v>
      </c>
      <c r="F206">
        <v>7.4416678172028101</v>
      </c>
      <c r="G206">
        <v>0.44</v>
      </c>
      <c r="H206">
        <v>5.1576863049234101</v>
      </c>
      <c r="I206">
        <v>49562</v>
      </c>
      <c r="J206">
        <v>3695053</v>
      </c>
      <c r="K206" s="1">
        <f t="shared" si="21"/>
        <v>1.3413068770596795E-2</v>
      </c>
      <c r="L206" s="1">
        <f t="shared" si="22"/>
        <v>0.72791690789902541</v>
      </c>
      <c r="M206" s="1">
        <f t="shared" si="23"/>
        <v>0.24361050979679783</v>
      </c>
      <c r="N206" s="1">
        <f t="shared" si="24"/>
        <v>0.2713025409492229</v>
      </c>
      <c r="O206" s="1">
        <f t="shared" si="25"/>
        <v>0.26697061803444783</v>
      </c>
      <c r="P206" s="1">
        <f t="shared" si="26"/>
        <v>0.3006505347859974</v>
      </c>
      <c r="Q206">
        <f t="shared" si="27"/>
        <v>0.42669616868574739</v>
      </c>
    </row>
    <row r="207" spans="1:17" x14ac:dyDescent="0.3">
      <c r="A207" s="2" t="s">
        <v>56</v>
      </c>
      <c r="B207" s="2" t="s">
        <v>39</v>
      </c>
      <c r="C207">
        <v>4981522</v>
      </c>
      <c r="D207">
        <v>42401</v>
      </c>
      <c r="E207">
        <v>186.38820698486001</v>
      </c>
      <c r="F207">
        <v>158.56689217175199</v>
      </c>
      <c r="G207">
        <v>6.74</v>
      </c>
      <c r="H207">
        <v>3.2925616651582499</v>
      </c>
      <c r="I207">
        <v>42401</v>
      </c>
      <c r="J207">
        <v>5023923</v>
      </c>
      <c r="K207" s="1">
        <f t="shared" si="21"/>
        <v>8.4398188427649064E-3</v>
      </c>
      <c r="L207" s="1">
        <f t="shared" si="22"/>
        <v>0.99922710878372789</v>
      </c>
      <c r="M207" s="1">
        <f t="shared" si="23"/>
        <v>0.20747614506224235</v>
      </c>
      <c r="N207" s="1">
        <f t="shared" si="24"/>
        <v>0.67972262124624894</v>
      </c>
      <c r="O207" s="1">
        <f t="shared" si="25"/>
        <v>0.58611955420466055</v>
      </c>
      <c r="P207" s="1">
        <f t="shared" si="26"/>
        <v>0.73349460851955361</v>
      </c>
      <c r="Q207">
        <f t="shared" si="27"/>
        <v>0.66950446486153659</v>
      </c>
    </row>
    <row r="208" spans="1:17" x14ac:dyDescent="0.3">
      <c r="A208" s="2" t="s">
        <v>56</v>
      </c>
      <c r="B208" s="2" t="s">
        <v>40</v>
      </c>
      <c r="C208">
        <v>308279</v>
      </c>
      <c r="D208">
        <v>55886</v>
      </c>
      <c r="E208">
        <v>96.6594812790905</v>
      </c>
      <c r="F208">
        <v>-90.280270606102405</v>
      </c>
      <c r="G208">
        <v>11.9</v>
      </c>
      <c r="H208">
        <v>42.033533713284299</v>
      </c>
      <c r="I208">
        <v>55886</v>
      </c>
      <c r="J208">
        <v>364165</v>
      </c>
      <c r="K208" s="1">
        <f t="shared" si="21"/>
        <v>0.1534634025785015</v>
      </c>
      <c r="L208" s="1">
        <f t="shared" si="22"/>
        <v>5.0223307889115491E-2</v>
      </c>
      <c r="M208" s="1">
        <f t="shared" si="23"/>
        <v>0.27552137735458704</v>
      </c>
      <c r="N208" s="1">
        <f t="shared" si="24"/>
        <v>0.22776603867000059</v>
      </c>
      <c r="O208" s="1">
        <f t="shared" si="25"/>
        <v>0.84751773049645385</v>
      </c>
      <c r="P208" s="1">
        <f t="shared" si="26"/>
        <v>2.0761045119807923E-2</v>
      </c>
      <c r="Q208">
        <f t="shared" si="27"/>
        <v>0.21883958739546347</v>
      </c>
    </row>
    <row r="209" spans="1:17" x14ac:dyDescent="0.3">
      <c r="A209" s="2" t="s">
        <v>56</v>
      </c>
      <c r="B209" s="2" t="s">
        <v>41</v>
      </c>
      <c r="C209">
        <v>83667</v>
      </c>
      <c r="D209">
        <v>67867</v>
      </c>
      <c r="E209">
        <v>167.619148177966</v>
      </c>
      <c r="F209">
        <v>-92.986331630539794</v>
      </c>
      <c r="G209">
        <v>0.73</v>
      </c>
      <c r="H209">
        <v>76.440790122066204</v>
      </c>
      <c r="I209">
        <v>67867</v>
      </c>
      <c r="J209">
        <v>151534</v>
      </c>
      <c r="K209" s="1">
        <f t="shared" si="21"/>
        <v>0.44786648540921509</v>
      </c>
      <c r="L209" s="1">
        <f t="shared" si="22"/>
        <v>4.6109479654948549E-3</v>
      </c>
      <c r="M209" s="1">
        <f t="shared" si="23"/>
        <v>0.33597743431377003</v>
      </c>
      <c r="N209" s="1">
        <f t="shared" si="24"/>
        <v>0.58518433810654968</v>
      </c>
      <c r="O209" s="1">
        <f t="shared" si="25"/>
        <v>0.28166160081053698</v>
      </c>
      <c r="P209" s="1">
        <f t="shared" si="26"/>
        <v>1.301050259726297E-2</v>
      </c>
      <c r="Q209">
        <f t="shared" si="27"/>
        <v>0.23211226832845563</v>
      </c>
    </row>
    <row r="210" spans="1:17" x14ac:dyDescent="0.3">
      <c r="A210" s="2" t="s">
        <v>56</v>
      </c>
      <c r="B210" s="2" t="s">
        <v>42</v>
      </c>
      <c r="C210">
        <v>1036524</v>
      </c>
      <c r="D210">
        <v>62828</v>
      </c>
      <c r="E210">
        <v>97.330063528333</v>
      </c>
      <c r="F210">
        <v>-70.454231671959107</v>
      </c>
      <c r="G210">
        <v>-2.2999999999999998</v>
      </c>
      <c r="H210">
        <v>19.514285980513002</v>
      </c>
      <c r="I210">
        <v>62828</v>
      </c>
      <c r="J210">
        <v>1099352</v>
      </c>
      <c r="K210" s="1">
        <f t="shared" si="21"/>
        <v>5.7150030199608494E-2</v>
      </c>
      <c r="L210" s="1">
        <f t="shared" si="22"/>
        <v>0.19810932044666857</v>
      </c>
      <c r="M210" s="1">
        <f t="shared" si="23"/>
        <v>0.31055066935113562</v>
      </c>
      <c r="N210" s="1">
        <f t="shared" si="24"/>
        <v>0.23114370907956092</v>
      </c>
      <c r="O210" s="1">
        <f t="shared" si="25"/>
        <v>0.12816616008105369</v>
      </c>
      <c r="P210" s="1">
        <f t="shared" si="26"/>
        <v>7.7545632172739257E-2</v>
      </c>
      <c r="Q210">
        <f t="shared" si="27"/>
        <v>0.2137758505354094</v>
      </c>
    </row>
    <row r="211" spans="1:17" x14ac:dyDescent="0.3">
      <c r="A211" s="2" t="s">
        <v>56</v>
      </c>
      <c r="B211" s="2" t="s">
        <v>43</v>
      </c>
      <c r="C211">
        <v>3369003</v>
      </c>
      <c r="D211">
        <v>2236</v>
      </c>
      <c r="E211">
        <v>91.301743958230105</v>
      </c>
      <c r="F211">
        <v>-15.0075935385889</v>
      </c>
      <c r="G211">
        <v>2.63</v>
      </c>
      <c r="H211">
        <v>0.264776208744542</v>
      </c>
      <c r="I211">
        <v>2236</v>
      </c>
      <c r="J211">
        <v>3371239</v>
      </c>
      <c r="K211" s="1">
        <f t="shared" si="21"/>
        <v>6.6325763317284835E-4</v>
      </c>
      <c r="L211" s="1">
        <f t="shared" si="22"/>
        <v>0.67176999602182375</v>
      </c>
      <c r="M211" s="1">
        <f t="shared" si="23"/>
        <v>4.803786514075801E-3</v>
      </c>
      <c r="N211" s="1">
        <f t="shared" si="24"/>
        <v>0.20077953428323886</v>
      </c>
      <c r="O211" s="1">
        <f t="shared" si="25"/>
        <v>0.37791286727456935</v>
      </c>
      <c r="P211" s="1">
        <f t="shared" si="26"/>
        <v>0.23635266671631353</v>
      </c>
      <c r="Q211">
        <f t="shared" si="27"/>
        <v>0.33790290549189322</v>
      </c>
    </row>
    <row r="212" spans="1:17" x14ac:dyDescent="0.3">
      <c r="A212" s="2" t="s">
        <v>56</v>
      </c>
      <c r="B212" s="2" t="s">
        <v>44</v>
      </c>
      <c r="C212">
        <v>4104907</v>
      </c>
      <c r="D212">
        <v>183879</v>
      </c>
      <c r="E212">
        <v>93.686185321440604</v>
      </c>
      <c r="F212">
        <v>10.9485020019329</v>
      </c>
      <c r="G212">
        <v>9.14</v>
      </c>
      <c r="H212">
        <v>15.195283552697701</v>
      </c>
      <c r="I212">
        <v>183879</v>
      </c>
      <c r="J212">
        <v>4288786</v>
      </c>
      <c r="K212" s="1">
        <f t="shared" si="21"/>
        <v>4.2874370509510151E-2</v>
      </c>
      <c r="L212" s="1">
        <f t="shared" si="22"/>
        <v>0.82121133538584756</v>
      </c>
      <c r="M212" s="1">
        <f t="shared" si="23"/>
        <v>0.92137331779167109</v>
      </c>
      <c r="N212" s="1">
        <f t="shared" si="24"/>
        <v>0.21278977917854527</v>
      </c>
      <c r="O212" s="1">
        <f t="shared" si="25"/>
        <v>0.70770010131712258</v>
      </c>
      <c r="P212" s="1">
        <f t="shared" si="26"/>
        <v>0.31069460519786685</v>
      </c>
      <c r="Q212">
        <f t="shared" si="27"/>
        <v>0.6621647233201724</v>
      </c>
    </row>
    <row r="213" spans="1:17" x14ac:dyDescent="0.3">
      <c r="A213" s="2" t="s">
        <v>56</v>
      </c>
      <c r="B213" s="2" t="s">
        <v>45</v>
      </c>
      <c r="C213">
        <v>736199</v>
      </c>
      <c r="D213">
        <v>68462</v>
      </c>
      <c r="E213">
        <v>145.52712260193999</v>
      </c>
      <c r="F213">
        <v>-67.665332044732807</v>
      </c>
      <c r="G213">
        <v>8.1999999999999993</v>
      </c>
      <c r="H213">
        <v>27.112401700118902</v>
      </c>
      <c r="I213">
        <v>68462</v>
      </c>
      <c r="J213">
        <v>804661</v>
      </c>
      <c r="K213" s="1">
        <f t="shared" si="21"/>
        <v>8.508179220814728E-2</v>
      </c>
      <c r="L213" s="1">
        <f t="shared" si="22"/>
        <v>0.1371217864143757</v>
      </c>
      <c r="M213" s="1">
        <f t="shared" si="23"/>
        <v>0.33897980088506741</v>
      </c>
      <c r="N213" s="1">
        <f t="shared" si="24"/>
        <v>0.47390853091110902</v>
      </c>
      <c r="O213" s="1">
        <f t="shared" si="25"/>
        <v>0.6600810536980749</v>
      </c>
      <c r="P213" s="1">
        <f t="shared" si="26"/>
        <v>8.5533436201076438E-2</v>
      </c>
      <c r="Q213">
        <f t="shared" si="27"/>
        <v>0.30208073063843527</v>
      </c>
    </row>
    <row r="214" spans="1:17" x14ac:dyDescent="0.3">
      <c r="A214" s="2" t="s">
        <v>56</v>
      </c>
      <c r="B214" s="2" t="s">
        <v>46</v>
      </c>
      <c r="C214">
        <v>1037904</v>
      </c>
      <c r="D214">
        <v>21303</v>
      </c>
      <c r="E214">
        <v>180.22917144618501</v>
      </c>
      <c r="F214">
        <v>-47.2870357586635</v>
      </c>
      <c r="G214">
        <v>-4.07</v>
      </c>
      <c r="H214">
        <v>7.5871058733024901</v>
      </c>
      <c r="I214">
        <v>21303</v>
      </c>
      <c r="J214">
        <v>1059207</v>
      </c>
      <c r="K214" s="1">
        <f t="shared" si="21"/>
        <v>2.0112216025762669E-2</v>
      </c>
      <c r="L214" s="1">
        <f t="shared" si="22"/>
        <v>0.19838955951089754</v>
      </c>
      <c r="M214" s="1">
        <f t="shared" si="23"/>
        <v>0.10101575864000363</v>
      </c>
      <c r="N214" s="1">
        <f t="shared" si="24"/>
        <v>0.6487000403265889</v>
      </c>
      <c r="O214" s="1">
        <f t="shared" si="25"/>
        <v>3.8500506585612951E-2</v>
      </c>
      <c r="P214" s="1">
        <f t="shared" si="26"/>
        <v>0.14389976662595574</v>
      </c>
      <c r="Q214">
        <f t="shared" si="27"/>
        <v>0.24267032087528972</v>
      </c>
    </row>
    <row r="215" spans="1:17" x14ac:dyDescent="0.3">
      <c r="A215" s="2" t="s">
        <v>56</v>
      </c>
      <c r="B215" s="2" t="s">
        <v>47</v>
      </c>
      <c r="C215">
        <v>2253119</v>
      </c>
      <c r="D215">
        <v>96064</v>
      </c>
      <c r="E215">
        <v>119.999165667383</v>
      </c>
      <c r="F215">
        <v>-22.159326246030599</v>
      </c>
      <c r="G215">
        <v>7.73</v>
      </c>
      <c r="H215">
        <v>14.5696383714867</v>
      </c>
      <c r="I215">
        <v>96064</v>
      </c>
      <c r="J215">
        <v>2349183</v>
      </c>
      <c r="K215" s="1">
        <f t="shared" si="21"/>
        <v>4.0892514546546604E-2</v>
      </c>
      <c r="L215" s="1">
        <f t="shared" si="22"/>
        <v>0.44516543953771115</v>
      </c>
      <c r="M215" s="1">
        <f t="shared" si="23"/>
        <v>0.47825933382784075</v>
      </c>
      <c r="N215" s="1">
        <f t="shared" si="24"/>
        <v>0.34532620584690532</v>
      </c>
      <c r="O215" s="1">
        <f t="shared" si="25"/>
        <v>0.63627152988855118</v>
      </c>
      <c r="P215" s="1">
        <f t="shared" si="26"/>
        <v>0.21586909004958746</v>
      </c>
      <c r="Q215">
        <f t="shared" si="27"/>
        <v>0.42965204045835403</v>
      </c>
    </row>
    <row r="216" spans="1:17" x14ac:dyDescent="0.3">
      <c r="A216" s="2" t="s">
        <v>56</v>
      </c>
      <c r="B216" s="2" t="s">
        <v>48</v>
      </c>
      <c r="C216">
        <v>4871719</v>
      </c>
      <c r="D216">
        <v>50506</v>
      </c>
      <c r="E216">
        <v>115.090228504385</v>
      </c>
      <c r="F216">
        <v>56.426894933038803</v>
      </c>
      <c r="G216">
        <v>8.7200000000000006</v>
      </c>
      <c r="H216">
        <v>3.98175469273867</v>
      </c>
      <c r="I216">
        <v>50506</v>
      </c>
      <c r="J216">
        <v>4922225</v>
      </c>
      <c r="K216" s="1">
        <f t="shared" si="21"/>
        <v>1.0260806850560468E-2</v>
      </c>
      <c r="L216" s="1">
        <f t="shared" si="22"/>
        <v>0.97692921750145756</v>
      </c>
      <c r="M216" s="1">
        <f t="shared" si="23"/>
        <v>0.24837392835697381</v>
      </c>
      <c r="N216" s="1">
        <f t="shared" si="24"/>
        <v>0.32060027279905123</v>
      </c>
      <c r="O216" s="1">
        <f t="shared" si="25"/>
        <v>0.68642350557244169</v>
      </c>
      <c r="P216" s="1">
        <f t="shared" si="26"/>
        <v>0.44095117187778055</v>
      </c>
      <c r="Q216">
        <f t="shared" si="27"/>
        <v>0.58087623051958603</v>
      </c>
    </row>
    <row r="217" spans="1:17" x14ac:dyDescent="0.3">
      <c r="A217" s="2" t="s">
        <v>56</v>
      </c>
      <c r="B217" s="2" t="s">
        <v>49</v>
      </c>
      <c r="C217">
        <v>3826038</v>
      </c>
      <c r="D217">
        <v>140787</v>
      </c>
      <c r="E217">
        <v>248.73797054319201</v>
      </c>
      <c r="F217">
        <v>172.45616457269</v>
      </c>
      <c r="G217">
        <v>9.4600000000000009</v>
      </c>
      <c r="H217">
        <v>12.8303516870781</v>
      </c>
      <c r="I217">
        <v>140787</v>
      </c>
      <c r="J217">
        <v>3966825</v>
      </c>
      <c r="K217" s="1">
        <f t="shared" si="21"/>
        <v>3.549110434667524E-2</v>
      </c>
      <c r="L217" s="1">
        <f t="shared" si="22"/>
        <v>0.76458090958695812</v>
      </c>
      <c r="M217" s="1">
        <f t="shared" si="23"/>
        <v>0.70393133411041642</v>
      </c>
      <c r="N217" s="1">
        <f t="shared" si="24"/>
        <v>0.99377351008494919</v>
      </c>
      <c r="O217" s="1">
        <f t="shared" si="25"/>
        <v>0.72391084093211755</v>
      </c>
      <c r="P217" s="1">
        <f t="shared" si="26"/>
        <v>0.7732754543240421</v>
      </c>
      <c r="Q217">
        <f t="shared" si="27"/>
        <v>0.79205948342564514</v>
      </c>
    </row>
    <row r="218" spans="1:17" x14ac:dyDescent="0.3">
      <c r="A218" s="2" t="s">
        <v>57</v>
      </c>
      <c r="B218" s="2" t="s">
        <v>14</v>
      </c>
      <c r="C218">
        <v>2540430</v>
      </c>
      <c r="D218">
        <v>108230</v>
      </c>
      <c r="E218">
        <v>130.33005368752501</v>
      </c>
      <c r="F218">
        <v>-5.6637289061966198</v>
      </c>
      <c r="G218">
        <v>10.48</v>
      </c>
      <c r="H218">
        <v>14.560008071703599</v>
      </c>
      <c r="I218">
        <v>108230</v>
      </c>
      <c r="J218">
        <v>2648660</v>
      </c>
      <c r="K218" s="1">
        <f t="shared" si="21"/>
        <v>4.0862171815182015E-2</v>
      </c>
      <c r="L218" s="1">
        <f t="shared" si="22"/>
        <v>0.50351019735125346</v>
      </c>
      <c r="M218" s="1">
        <f t="shared" si="23"/>
        <v>0.53964889972095653</v>
      </c>
      <c r="N218" s="1">
        <f t="shared" si="24"/>
        <v>0.39736208184799587</v>
      </c>
      <c r="O218" s="1">
        <f t="shared" si="25"/>
        <v>0.77558257345491388</v>
      </c>
      <c r="P218" s="1">
        <f t="shared" si="26"/>
        <v>0.26311482008398079</v>
      </c>
      <c r="Q218">
        <f t="shared" si="27"/>
        <v>0.49448294972666645</v>
      </c>
    </row>
    <row r="219" spans="1:17" x14ac:dyDescent="0.3">
      <c r="A219" s="2" t="s">
        <v>57</v>
      </c>
      <c r="B219" s="2" t="s">
        <v>15</v>
      </c>
      <c r="C219">
        <v>1539515</v>
      </c>
      <c r="D219">
        <v>75660</v>
      </c>
      <c r="E219">
        <v>141.408825669045</v>
      </c>
      <c r="F219">
        <v>-37.582838013253998</v>
      </c>
      <c r="G219">
        <v>-4.21</v>
      </c>
      <c r="H219">
        <v>16.4285849996335</v>
      </c>
      <c r="I219">
        <v>75660</v>
      </c>
      <c r="J219">
        <v>1615175</v>
      </c>
      <c r="K219" s="1">
        <f t="shared" si="21"/>
        <v>4.684322132276688E-2</v>
      </c>
      <c r="L219" s="1">
        <f t="shared" si="22"/>
        <v>0.30025260099419887</v>
      </c>
      <c r="M219" s="1">
        <f t="shared" si="23"/>
        <v>0.37530086740640944</v>
      </c>
      <c r="N219" s="1">
        <f t="shared" si="24"/>
        <v>0.45316499094455637</v>
      </c>
      <c r="O219" s="1">
        <f t="shared" si="25"/>
        <v>3.1408308004052685E-2</v>
      </c>
      <c r="P219" s="1">
        <f t="shared" si="26"/>
        <v>0.17169396512841509</v>
      </c>
      <c r="Q219">
        <f t="shared" si="27"/>
        <v>0.30985685270173002</v>
      </c>
    </row>
    <row r="220" spans="1:17" x14ac:dyDescent="0.3">
      <c r="A220" s="2" t="s">
        <v>57</v>
      </c>
      <c r="B220" s="2" t="s">
        <v>16</v>
      </c>
      <c r="C220">
        <v>1605857</v>
      </c>
      <c r="D220">
        <v>194927</v>
      </c>
      <c r="E220">
        <v>137.10694897333599</v>
      </c>
      <c r="F220">
        <v>-32.527157204345102</v>
      </c>
      <c r="G220">
        <v>-2.98</v>
      </c>
      <c r="H220">
        <v>32.684416479953299</v>
      </c>
      <c r="I220">
        <v>194927</v>
      </c>
      <c r="J220">
        <v>1800784</v>
      </c>
      <c r="K220" s="1">
        <f t="shared" si="21"/>
        <v>0.10824563079192175</v>
      </c>
      <c r="L220" s="1">
        <f t="shared" si="22"/>
        <v>0.31372478939932785</v>
      </c>
      <c r="M220" s="1">
        <f t="shared" si="23"/>
        <v>0.97712146212729023</v>
      </c>
      <c r="N220" s="1">
        <f t="shared" si="24"/>
        <v>0.43149677405231501</v>
      </c>
      <c r="O220" s="1">
        <f t="shared" si="25"/>
        <v>9.3718338399189458E-2</v>
      </c>
      <c r="P220" s="1">
        <f t="shared" si="26"/>
        <v>0.18617415191504144</v>
      </c>
      <c r="Q220">
        <f t="shared" si="27"/>
        <v>0.46837264566347347</v>
      </c>
    </row>
    <row r="221" spans="1:17" x14ac:dyDescent="0.3">
      <c r="A221" s="2" t="s">
        <v>57</v>
      </c>
      <c r="B221" s="2" t="s">
        <v>17</v>
      </c>
      <c r="C221">
        <v>4814212</v>
      </c>
      <c r="D221">
        <v>83959</v>
      </c>
      <c r="E221">
        <v>191.41838861893501</v>
      </c>
      <c r="F221">
        <v>156.227368996379</v>
      </c>
      <c r="G221">
        <v>8.9600000000000009</v>
      </c>
      <c r="H221">
        <v>6.52102660014042</v>
      </c>
      <c r="I221">
        <v>83959</v>
      </c>
      <c r="J221">
        <v>4898171</v>
      </c>
      <c r="K221" s="1">
        <f t="shared" si="21"/>
        <v>1.7140887894685587E-2</v>
      </c>
      <c r="L221" s="1">
        <f t="shared" si="22"/>
        <v>0.96525116832275093</v>
      </c>
      <c r="M221" s="1">
        <f t="shared" si="23"/>
        <v>0.41717757358321095</v>
      </c>
      <c r="N221" s="1">
        <f t="shared" si="24"/>
        <v>0.70505925322438667</v>
      </c>
      <c r="O221" s="1">
        <f t="shared" si="25"/>
        <v>0.6985815602836879</v>
      </c>
      <c r="P221" s="1">
        <f t="shared" si="26"/>
        <v>0.72679388237573794</v>
      </c>
      <c r="Q221">
        <f t="shared" si="27"/>
        <v>0.72568169721958542</v>
      </c>
    </row>
    <row r="222" spans="1:17" x14ac:dyDescent="0.3">
      <c r="A222" s="2" t="s">
        <v>57</v>
      </c>
      <c r="B222" s="2" t="s">
        <v>18</v>
      </c>
      <c r="C222">
        <v>1141520</v>
      </c>
      <c r="D222">
        <v>81059</v>
      </c>
      <c r="E222">
        <v>102.570058867361</v>
      </c>
      <c r="F222">
        <v>-65.730682516909198</v>
      </c>
      <c r="G222">
        <v>7.1</v>
      </c>
      <c r="H222">
        <v>22.120734965437599</v>
      </c>
      <c r="I222">
        <v>81059</v>
      </c>
      <c r="J222">
        <v>1222579</v>
      </c>
      <c r="K222" s="1">
        <f t="shared" si="21"/>
        <v>6.630164594680589E-2</v>
      </c>
      <c r="L222" s="1">
        <f t="shared" si="22"/>
        <v>0.21943104565520807</v>
      </c>
      <c r="M222" s="1">
        <f t="shared" si="23"/>
        <v>0.4025441902945347</v>
      </c>
      <c r="N222" s="1">
        <f t="shared" si="24"/>
        <v>0.25753715630078106</v>
      </c>
      <c r="O222" s="1">
        <f t="shared" si="25"/>
        <v>0.6043566362715298</v>
      </c>
      <c r="P222" s="1">
        <f t="shared" si="26"/>
        <v>9.1074546802872969E-2</v>
      </c>
      <c r="Q222">
        <f t="shared" si="27"/>
        <v>0.29848746312055296</v>
      </c>
    </row>
    <row r="223" spans="1:17" x14ac:dyDescent="0.3">
      <c r="A223" s="2" t="s">
        <v>57</v>
      </c>
      <c r="B223" s="2" t="s">
        <v>19</v>
      </c>
      <c r="C223">
        <v>1001628</v>
      </c>
      <c r="D223">
        <v>164666</v>
      </c>
      <c r="E223">
        <v>101.260917058649</v>
      </c>
      <c r="F223">
        <v>-67.725626836100204</v>
      </c>
      <c r="G223">
        <v>14.13</v>
      </c>
      <c r="H223">
        <v>39.671575843285297</v>
      </c>
      <c r="I223">
        <v>164666</v>
      </c>
      <c r="J223">
        <v>1166294</v>
      </c>
      <c r="K223" s="1">
        <f t="shared" si="21"/>
        <v>0.14118738499897968</v>
      </c>
      <c r="L223" s="1">
        <f t="shared" si="22"/>
        <v>0.19102292741381785</v>
      </c>
      <c r="M223" s="1">
        <f t="shared" si="23"/>
        <v>0.82442463050707193</v>
      </c>
      <c r="N223" s="1">
        <f t="shared" si="24"/>
        <v>0.25094311126872149</v>
      </c>
      <c r="O223" s="1">
        <f t="shared" si="25"/>
        <v>0.96048632218844976</v>
      </c>
      <c r="P223" s="1">
        <f t="shared" si="26"/>
        <v>8.5360743368150346E-2</v>
      </c>
      <c r="Q223">
        <f t="shared" si="27"/>
        <v>0.42773751103100854</v>
      </c>
    </row>
    <row r="224" spans="1:17" x14ac:dyDescent="0.3">
      <c r="A224" s="2" t="s">
        <v>57</v>
      </c>
      <c r="B224" s="2" t="s">
        <v>20</v>
      </c>
      <c r="C224">
        <v>3835274</v>
      </c>
      <c r="D224">
        <v>98395</v>
      </c>
      <c r="E224">
        <v>89.661839875190296</v>
      </c>
      <c r="F224">
        <v>-3.6141285782605599</v>
      </c>
      <c r="G224">
        <v>9.35</v>
      </c>
      <c r="H224">
        <v>9.3070132002665407</v>
      </c>
      <c r="I224">
        <v>98395</v>
      </c>
      <c r="J224">
        <v>3933669</v>
      </c>
      <c r="K224" s="1">
        <f t="shared" si="21"/>
        <v>2.5013543335750923E-2</v>
      </c>
      <c r="L224" s="1">
        <f t="shared" si="22"/>
        <v>0.76645648059943539</v>
      </c>
      <c r="M224" s="1">
        <f t="shared" si="23"/>
        <v>0.49002154639539403</v>
      </c>
      <c r="N224" s="1">
        <f t="shared" si="24"/>
        <v>0.19251946551157398</v>
      </c>
      <c r="O224" s="1">
        <f t="shared" si="25"/>
        <v>0.71833839918946296</v>
      </c>
      <c r="P224" s="1">
        <f t="shared" si="26"/>
        <v>0.2689851660785591</v>
      </c>
      <c r="Q224">
        <f t="shared" si="27"/>
        <v>0.52800140443776789</v>
      </c>
    </row>
    <row r="225" spans="1:17" x14ac:dyDescent="0.3">
      <c r="A225" s="2" t="s">
        <v>57</v>
      </c>
      <c r="B225" s="2" t="s">
        <v>21</v>
      </c>
      <c r="C225">
        <v>2469846</v>
      </c>
      <c r="D225">
        <v>150590</v>
      </c>
      <c r="E225">
        <v>182.48871561831601</v>
      </c>
      <c r="F225">
        <v>30.6825169092027</v>
      </c>
      <c r="G225">
        <v>3.9</v>
      </c>
      <c r="H225">
        <v>19.606758140567301</v>
      </c>
      <c r="I225">
        <v>150590</v>
      </c>
      <c r="J225">
        <v>2620436</v>
      </c>
      <c r="K225" s="1">
        <f t="shared" si="21"/>
        <v>5.7467535936767775E-2</v>
      </c>
      <c r="L225" s="1">
        <f t="shared" si="22"/>
        <v>0.48917657843129886</v>
      </c>
      <c r="M225" s="1">
        <f t="shared" si="23"/>
        <v>0.75339721562037976</v>
      </c>
      <c r="N225" s="1">
        <f t="shared" si="24"/>
        <v>0.66008118782627689</v>
      </c>
      <c r="O225" s="1">
        <f t="shared" si="25"/>
        <v>0.44224924012158051</v>
      </c>
      <c r="P225" s="1">
        <f t="shared" si="26"/>
        <v>0.36721562238783584</v>
      </c>
      <c r="Q225">
        <f t="shared" si="27"/>
        <v>0.57252383017224651</v>
      </c>
    </row>
    <row r="226" spans="1:17" x14ac:dyDescent="0.3">
      <c r="A226" s="2" t="s">
        <v>57</v>
      </c>
      <c r="B226" s="2" t="s">
        <v>22</v>
      </c>
      <c r="C226">
        <v>1907612</v>
      </c>
      <c r="D226">
        <v>91768</v>
      </c>
      <c r="E226">
        <v>156.248437015474</v>
      </c>
      <c r="F226">
        <v>-14.627314340370299</v>
      </c>
      <c r="G226">
        <v>8.91</v>
      </c>
      <c r="H226">
        <v>16.137274452187601</v>
      </c>
      <c r="I226">
        <v>91768</v>
      </c>
      <c r="J226">
        <v>1999380</v>
      </c>
      <c r="K226" s="1">
        <f t="shared" si="21"/>
        <v>4.5898228450819756E-2</v>
      </c>
      <c r="L226" s="1">
        <f t="shared" si="22"/>
        <v>0.37500271608513336</v>
      </c>
      <c r="M226" s="1">
        <f t="shared" si="23"/>
        <v>0.45658174258364997</v>
      </c>
      <c r="N226" s="1">
        <f t="shared" si="24"/>
        <v>0.52791095415910494</v>
      </c>
      <c r="O226" s="1">
        <f t="shared" si="25"/>
        <v>0.69604863221884494</v>
      </c>
      <c r="P226" s="1">
        <f t="shared" si="26"/>
        <v>0.23744184026769169</v>
      </c>
      <c r="Q226">
        <f t="shared" si="27"/>
        <v>0.44432762435618378</v>
      </c>
    </row>
    <row r="227" spans="1:17" x14ac:dyDescent="0.3">
      <c r="A227" s="2" t="s">
        <v>57</v>
      </c>
      <c r="B227" s="2" t="s">
        <v>23</v>
      </c>
      <c r="C227">
        <v>3740807</v>
      </c>
      <c r="D227">
        <v>80218</v>
      </c>
      <c r="E227">
        <v>109.080678613722</v>
      </c>
      <c r="F227">
        <v>13.9031222244995</v>
      </c>
      <c r="G227">
        <v>1.26</v>
      </c>
      <c r="H227">
        <v>7.8999842183491102</v>
      </c>
      <c r="I227">
        <v>80218</v>
      </c>
      <c r="J227">
        <v>3821025</v>
      </c>
      <c r="K227" s="1">
        <f t="shared" si="21"/>
        <v>2.0993843275037456E-2</v>
      </c>
      <c r="L227" s="1">
        <f t="shared" si="22"/>
        <v>0.74727289822224863</v>
      </c>
      <c r="M227" s="1">
        <f t="shared" si="23"/>
        <v>0.39830050914081855</v>
      </c>
      <c r="N227" s="1">
        <f t="shared" si="24"/>
        <v>0.29033063941194881</v>
      </c>
      <c r="O227" s="1">
        <f t="shared" si="25"/>
        <v>0.30851063829787229</v>
      </c>
      <c r="P227" s="1">
        <f t="shared" si="26"/>
        <v>0.31915705651222137</v>
      </c>
      <c r="Q227">
        <f t="shared" si="27"/>
        <v>0.48195353902639076</v>
      </c>
    </row>
    <row r="228" spans="1:17" x14ac:dyDescent="0.3">
      <c r="A228" s="2" t="s">
        <v>57</v>
      </c>
      <c r="B228" s="2" t="s">
        <v>24</v>
      </c>
      <c r="C228">
        <v>3160541</v>
      </c>
      <c r="D228">
        <v>118771</v>
      </c>
      <c r="E228">
        <v>117.982064530608</v>
      </c>
      <c r="F228">
        <v>5.73204891712781</v>
      </c>
      <c r="G228">
        <v>-1.86</v>
      </c>
      <c r="H228">
        <v>13.067464328691701</v>
      </c>
      <c r="I228">
        <v>118771</v>
      </c>
      <c r="J228">
        <v>3279312</v>
      </c>
      <c r="K228" s="1">
        <f t="shared" si="21"/>
        <v>3.6218267734207665E-2</v>
      </c>
      <c r="L228" s="1">
        <f t="shared" si="22"/>
        <v>0.62943724543682467</v>
      </c>
      <c r="M228" s="1">
        <f t="shared" si="23"/>
        <v>0.59283872497817602</v>
      </c>
      <c r="N228" s="1">
        <f t="shared" si="24"/>
        <v>0.33516622497882892</v>
      </c>
      <c r="O228" s="1">
        <f t="shared" si="25"/>
        <v>0.15045592705167171</v>
      </c>
      <c r="P228" s="1">
        <f t="shared" si="26"/>
        <v>0.29575394381383602</v>
      </c>
      <c r="Q228">
        <f t="shared" si="27"/>
        <v>0.48016694922974917</v>
      </c>
    </row>
    <row r="229" spans="1:17" x14ac:dyDescent="0.3">
      <c r="A229" s="2" t="s">
        <v>57</v>
      </c>
      <c r="B229" s="2" t="s">
        <v>25</v>
      </c>
      <c r="C229">
        <v>3755608</v>
      </c>
      <c r="D229">
        <v>195538</v>
      </c>
      <c r="E229">
        <v>111.99282436032399</v>
      </c>
      <c r="F229">
        <v>20.926419348227</v>
      </c>
      <c r="G229">
        <v>12.02</v>
      </c>
      <c r="H229">
        <v>17.236521984415202</v>
      </c>
      <c r="I229">
        <v>195538</v>
      </c>
      <c r="J229">
        <v>3951146</v>
      </c>
      <c r="K229" s="1">
        <f t="shared" si="21"/>
        <v>4.9488933084224175E-2</v>
      </c>
      <c r="L229" s="1">
        <f t="shared" si="22"/>
        <v>0.75027856372199719</v>
      </c>
      <c r="M229" s="1">
        <f t="shared" si="23"/>
        <v>0.98020456460638727</v>
      </c>
      <c r="N229" s="1">
        <f t="shared" si="24"/>
        <v>0.3049988900668622</v>
      </c>
      <c r="O229" s="1">
        <f t="shared" si="25"/>
        <v>0.853596757852077</v>
      </c>
      <c r="P229" s="1">
        <f t="shared" si="26"/>
        <v>0.33927277545364287</v>
      </c>
      <c r="Q229">
        <f t="shared" si="27"/>
        <v>0.68793536979824021</v>
      </c>
    </row>
    <row r="230" spans="1:17" x14ac:dyDescent="0.3">
      <c r="A230" s="2" t="s">
        <v>57</v>
      </c>
      <c r="B230" s="2" t="s">
        <v>26</v>
      </c>
      <c r="C230">
        <v>283465</v>
      </c>
      <c r="D230">
        <v>104560</v>
      </c>
      <c r="E230">
        <v>108.755879131499</v>
      </c>
      <c r="F230">
        <v>-88.766387896803394</v>
      </c>
      <c r="G230">
        <v>13.75</v>
      </c>
      <c r="H230">
        <v>59.603394588894197</v>
      </c>
      <c r="I230">
        <v>104560</v>
      </c>
      <c r="J230">
        <v>388025</v>
      </c>
      <c r="K230" s="1">
        <f t="shared" si="21"/>
        <v>0.26946717350686167</v>
      </c>
      <c r="L230" s="1">
        <f t="shared" si="22"/>
        <v>4.5184284599421608E-2</v>
      </c>
      <c r="M230" s="1">
        <f t="shared" si="23"/>
        <v>0.52113010086942479</v>
      </c>
      <c r="N230" s="1">
        <f t="shared" si="24"/>
        <v>0.28869464979041559</v>
      </c>
      <c r="O230" s="1">
        <f t="shared" si="25"/>
        <v>0.94123606889564315</v>
      </c>
      <c r="P230" s="1">
        <f t="shared" si="26"/>
        <v>2.50970198840899E-2</v>
      </c>
      <c r="Q230">
        <f t="shared" si="27"/>
        <v>0.3004692636632102</v>
      </c>
    </row>
    <row r="231" spans="1:17" x14ac:dyDescent="0.3">
      <c r="A231" s="2" t="s">
        <v>57</v>
      </c>
      <c r="B231" s="2" t="s">
        <v>27</v>
      </c>
      <c r="C231">
        <v>3156277</v>
      </c>
      <c r="D231">
        <v>53308</v>
      </c>
      <c r="E231">
        <v>245.047256888351</v>
      </c>
      <c r="F231">
        <v>109.365780074979</v>
      </c>
      <c r="G231">
        <v>2.08</v>
      </c>
      <c r="H231">
        <v>6.3282810640956804</v>
      </c>
      <c r="I231">
        <v>53308</v>
      </c>
      <c r="J231">
        <v>3209585</v>
      </c>
      <c r="K231" s="1">
        <f t="shared" si="21"/>
        <v>1.660900085213509E-2</v>
      </c>
      <c r="L231" s="1">
        <f t="shared" si="22"/>
        <v>0.62857134734271425</v>
      </c>
      <c r="M231" s="1">
        <f t="shared" si="23"/>
        <v>0.26251280421037759</v>
      </c>
      <c r="N231" s="1">
        <f t="shared" si="24"/>
        <v>0.97518367369098169</v>
      </c>
      <c r="O231" s="1">
        <f t="shared" si="25"/>
        <v>0.35005065856129686</v>
      </c>
      <c r="P231" s="1">
        <f t="shared" si="26"/>
        <v>0.59257564622755476</v>
      </c>
      <c r="Q231">
        <f t="shared" si="27"/>
        <v>0.57492753783962591</v>
      </c>
    </row>
    <row r="232" spans="1:17" x14ac:dyDescent="0.3">
      <c r="A232" s="2" t="s">
        <v>57</v>
      </c>
      <c r="B232" s="2" t="s">
        <v>28</v>
      </c>
      <c r="C232">
        <v>4920832</v>
      </c>
      <c r="D232">
        <v>174642</v>
      </c>
      <c r="E232">
        <v>127.70156417244</v>
      </c>
      <c r="F232">
        <v>73.215909847157207</v>
      </c>
      <c r="G232">
        <v>7.05</v>
      </c>
      <c r="H232">
        <v>12.431362778944299</v>
      </c>
      <c r="I232">
        <v>174642</v>
      </c>
      <c r="J232">
        <v>5095474</v>
      </c>
      <c r="K232" s="1">
        <f t="shared" si="21"/>
        <v>3.4273945858618843E-2</v>
      </c>
      <c r="L232" s="1">
        <f t="shared" si="22"/>
        <v>0.98690268211122367</v>
      </c>
      <c r="M232" s="1">
        <f t="shared" si="23"/>
        <v>0.87476346902011837</v>
      </c>
      <c r="N232" s="1">
        <f t="shared" si="24"/>
        <v>0.38412258547455153</v>
      </c>
      <c r="O232" s="1">
        <f t="shared" si="25"/>
        <v>0.60182370820668685</v>
      </c>
      <c r="P232" s="1">
        <f t="shared" si="26"/>
        <v>0.4890372914546921</v>
      </c>
      <c r="Q232">
        <f t="shared" si="27"/>
        <v>0.75001742305500618</v>
      </c>
    </row>
    <row r="233" spans="1:17" x14ac:dyDescent="0.3">
      <c r="A233" s="2" t="s">
        <v>57</v>
      </c>
      <c r="B233" s="2" t="s">
        <v>29</v>
      </c>
      <c r="C233">
        <v>4164505</v>
      </c>
      <c r="D233">
        <v>116827</v>
      </c>
      <c r="E233">
        <v>120.42981016188401</v>
      </c>
      <c r="F233">
        <v>37.252379156591701</v>
      </c>
      <c r="G233">
        <v>-1.07</v>
      </c>
      <c r="H233">
        <v>10.0890947022256</v>
      </c>
      <c r="I233">
        <v>116827</v>
      </c>
      <c r="J233">
        <v>4281332</v>
      </c>
      <c r="K233" s="1">
        <f t="shared" si="21"/>
        <v>2.7287535748220414E-2</v>
      </c>
      <c r="L233" s="1">
        <f t="shared" si="22"/>
        <v>0.83331400766839681</v>
      </c>
      <c r="M233" s="1">
        <f t="shared" si="23"/>
        <v>0.58302931218052545</v>
      </c>
      <c r="N233" s="1">
        <f t="shared" si="24"/>
        <v>0.34749532852761933</v>
      </c>
      <c r="O233" s="1">
        <f t="shared" si="25"/>
        <v>0.19047619047619044</v>
      </c>
      <c r="P233" s="1">
        <f t="shared" si="26"/>
        <v>0.38603263954148187</v>
      </c>
      <c r="Q233">
        <f t="shared" si="27"/>
        <v>0.56456717943636137</v>
      </c>
    </row>
    <row r="234" spans="1:17" x14ac:dyDescent="0.3">
      <c r="A234" s="2" t="s">
        <v>57</v>
      </c>
      <c r="B234" s="2" t="s">
        <v>30</v>
      </c>
      <c r="C234">
        <v>503083</v>
      </c>
      <c r="D234">
        <v>193269</v>
      </c>
      <c r="E234">
        <v>75.967326869169597</v>
      </c>
      <c r="F234">
        <v>-85.918054970163496</v>
      </c>
      <c r="G234">
        <v>11.35</v>
      </c>
      <c r="H234">
        <v>60.578344861416099</v>
      </c>
      <c r="I234">
        <v>193269</v>
      </c>
      <c r="J234">
        <v>696352</v>
      </c>
      <c r="K234" s="1">
        <f t="shared" si="21"/>
        <v>0.27754497725288357</v>
      </c>
      <c r="L234" s="1">
        <f t="shared" si="22"/>
        <v>8.9782504025390467E-2</v>
      </c>
      <c r="M234" s="1">
        <f t="shared" si="23"/>
        <v>0.96875520368155743</v>
      </c>
      <c r="N234" s="1">
        <f t="shared" si="24"/>
        <v>0.12354127319284443</v>
      </c>
      <c r="O234" s="1">
        <f t="shared" si="25"/>
        <v>0.81965552178318124</v>
      </c>
      <c r="P234" s="1">
        <f t="shared" si="26"/>
        <v>3.3255049310228671E-2</v>
      </c>
      <c r="Q234">
        <f t="shared" si="27"/>
        <v>0.38361198907718591</v>
      </c>
    </row>
    <row r="235" spans="1:17" x14ac:dyDescent="0.3">
      <c r="A235" s="2" t="s">
        <v>57</v>
      </c>
      <c r="B235" s="2" t="s">
        <v>31</v>
      </c>
      <c r="C235">
        <v>1715472</v>
      </c>
      <c r="D235">
        <v>39814</v>
      </c>
      <c r="E235">
        <v>66.997628876433794</v>
      </c>
      <c r="F235">
        <v>-68.694957740854903</v>
      </c>
      <c r="G235">
        <v>3.72</v>
      </c>
      <c r="H235">
        <v>8.4948856580794594</v>
      </c>
      <c r="I235">
        <v>39814</v>
      </c>
      <c r="J235">
        <v>1755286</v>
      </c>
      <c r="K235" s="1">
        <f t="shared" si="21"/>
        <v>2.2682343504135508E-2</v>
      </c>
      <c r="L235" s="1">
        <f t="shared" si="22"/>
        <v>0.33598450318589174</v>
      </c>
      <c r="M235" s="1">
        <f t="shared" si="23"/>
        <v>0.19442215796989559</v>
      </c>
      <c r="N235" s="1">
        <f t="shared" si="24"/>
        <v>7.8361605035835877E-2</v>
      </c>
      <c r="O235" s="1">
        <f t="shared" si="25"/>
        <v>0.43313069908814589</v>
      </c>
      <c r="P235" s="1">
        <f t="shared" si="26"/>
        <v>8.2584442195385674E-2</v>
      </c>
      <c r="Q235">
        <f t="shared" si="27"/>
        <v>0.23344395074305632</v>
      </c>
    </row>
    <row r="236" spans="1:17" x14ac:dyDescent="0.3">
      <c r="A236" s="2" t="s">
        <v>57</v>
      </c>
      <c r="B236" s="2" t="s">
        <v>32</v>
      </c>
      <c r="C236">
        <v>1465932</v>
      </c>
      <c r="D236">
        <v>148936</v>
      </c>
      <c r="E236">
        <v>222.24726726890299</v>
      </c>
      <c r="F236">
        <v>-4.4610572550411396</v>
      </c>
      <c r="G236">
        <v>9.58</v>
      </c>
      <c r="H236">
        <v>28.8961020063288</v>
      </c>
      <c r="I236">
        <v>148936</v>
      </c>
      <c r="J236">
        <v>1614868</v>
      </c>
      <c r="K236" s="1">
        <f t="shared" si="21"/>
        <v>9.2227971574147236E-2</v>
      </c>
      <c r="L236" s="1">
        <f t="shared" si="22"/>
        <v>0.28530996978901046</v>
      </c>
      <c r="M236" s="1">
        <f t="shared" si="23"/>
        <v>0.74505114115159676</v>
      </c>
      <c r="N236" s="1">
        <f t="shared" si="24"/>
        <v>0.86034190690862922</v>
      </c>
      <c r="O236" s="1">
        <f t="shared" si="25"/>
        <v>0.7299898682877406</v>
      </c>
      <c r="P236" s="1">
        <f t="shared" si="26"/>
        <v>0.26655944224466466</v>
      </c>
      <c r="Q236">
        <f t="shared" si="27"/>
        <v>0.5578445871490193</v>
      </c>
    </row>
    <row r="237" spans="1:17" x14ac:dyDescent="0.3">
      <c r="A237" s="2" t="s">
        <v>57</v>
      </c>
      <c r="B237" s="2" t="s">
        <v>33</v>
      </c>
      <c r="C237">
        <v>2612681</v>
      </c>
      <c r="D237">
        <v>4712</v>
      </c>
      <c r="E237">
        <v>233.629416751706</v>
      </c>
      <c r="F237">
        <v>62.7808957607755</v>
      </c>
      <c r="G237">
        <v>13.33</v>
      </c>
      <c r="H237">
        <v>0.71623759418953703</v>
      </c>
      <c r="I237">
        <v>4712</v>
      </c>
      <c r="J237">
        <v>2617393</v>
      </c>
      <c r="K237" s="1">
        <f t="shared" si="21"/>
        <v>1.8002646144465123E-3</v>
      </c>
      <c r="L237" s="1">
        <f t="shared" si="22"/>
        <v>0.51818233693792526</v>
      </c>
      <c r="M237" s="1">
        <f t="shared" si="23"/>
        <v>1.7297668246062863E-2</v>
      </c>
      <c r="N237" s="1">
        <f t="shared" si="24"/>
        <v>0.91767290478202146</v>
      </c>
      <c r="O237" s="1">
        <f t="shared" si="25"/>
        <v>0.91995947315096238</v>
      </c>
      <c r="P237" s="1">
        <f t="shared" si="26"/>
        <v>0.45914993131407145</v>
      </c>
      <c r="Q237">
        <f t="shared" si="27"/>
        <v>0.5071337563926972</v>
      </c>
    </row>
    <row r="238" spans="1:17" x14ac:dyDescent="0.3">
      <c r="A238" s="2" t="s">
        <v>57</v>
      </c>
      <c r="B238" s="2" t="s">
        <v>34</v>
      </c>
      <c r="C238">
        <v>495339</v>
      </c>
      <c r="D238">
        <v>98652</v>
      </c>
      <c r="E238">
        <v>218.18512401703001</v>
      </c>
      <c r="F238">
        <v>-65.500565673595204</v>
      </c>
      <c r="G238">
        <v>0.43</v>
      </c>
      <c r="H238">
        <v>44.340618036804401</v>
      </c>
      <c r="I238">
        <v>98652</v>
      </c>
      <c r="J238">
        <v>593991</v>
      </c>
      <c r="K238" s="1">
        <f t="shared" si="21"/>
        <v>0.16608332449481558</v>
      </c>
      <c r="L238" s="1">
        <f t="shared" si="22"/>
        <v>8.8209916117137493E-2</v>
      </c>
      <c r="M238" s="1">
        <f t="shared" si="23"/>
        <v>0.49131836691442499</v>
      </c>
      <c r="N238" s="1">
        <f t="shared" si="24"/>
        <v>0.83988120864716231</v>
      </c>
      <c r="O238" s="1">
        <f t="shared" si="25"/>
        <v>0.2664640324214792</v>
      </c>
      <c r="P238" s="1">
        <f t="shared" si="26"/>
        <v>9.1733634075167478E-2</v>
      </c>
      <c r="Q238">
        <f t="shared" si="27"/>
        <v>0.35749907074870152</v>
      </c>
    </row>
    <row r="239" spans="1:17" x14ac:dyDescent="0.3">
      <c r="A239" s="2" t="s">
        <v>57</v>
      </c>
      <c r="B239" s="2" t="s">
        <v>35</v>
      </c>
      <c r="C239">
        <v>3946521</v>
      </c>
      <c r="D239">
        <v>126028</v>
      </c>
      <c r="E239">
        <v>145.14251393905801</v>
      </c>
      <c r="F239">
        <v>57.350429246433997</v>
      </c>
      <c r="G239">
        <v>7.77</v>
      </c>
      <c r="H239">
        <v>11.3267483524253</v>
      </c>
      <c r="I239">
        <v>126028</v>
      </c>
      <c r="J239">
        <v>4072549</v>
      </c>
      <c r="K239" s="1">
        <f t="shared" si="21"/>
        <v>3.0945729566421422E-2</v>
      </c>
      <c r="L239" s="1">
        <f t="shared" si="22"/>
        <v>0.78904760754021785</v>
      </c>
      <c r="M239" s="1">
        <f t="shared" si="23"/>
        <v>0.62945750515952914</v>
      </c>
      <c r="N239" s="1">
        <f t="shared" si="24"/>
        <v>0.47197128711835351</v>
      </c>
      <c r="O239" s="1">
        <f t="shared" si="25"/>
        <v>0.63829787234042545</v>
      </c>
      <c r="P239" s="1">
        <f t="shared" si="26"/>
        <v>0.44359630511844234</v>
      </c>
      <c r="Q239">
        <f t="shared" si="27"/>
        <v>0.63611471409851594</v>
      </c>
    </row>
    <row r="240" spans="1:17" x14ac:dyDescent="0.3">
      <c r="A240" s="2" t="s">
        <v>57</v>
      </c>
      <c r="B240" s="2" t="s">
        <v>36</v>
      </c>
      <c r="C240">
        <v>2598869</v>
      </c>
      <c r="D240">
        <v>60426</v>
      </c>
      <c r="E240">
        <v>155.71796284353499</v>
      </c>
      <c r="F240">
        <v>10.2331462543534</v>
      </c>
      <c r="G240">
        <v>10.029999999999999</v>
      </c>
      <c r="H240">
        <v>8.5089874472509592</v>
      </c>
      <c r="I240">
        <v>60426</v>
      </c>
      <c r="J240">
        <v>2659295</v>
      </c>
      <c r="K240" s="1">
        <f t="shared" si="21"/>
        <v>2.2722563686992228E-2</v>
      </c>
      <c r="L240" s="1">
        <f t="shared" si="22"/>
        <v>0.51537750943420746</v>
      </c>
      <c r="M240" s="1">
        <f t="shared" si="23"/>
        <v>0.29843019119272168</v>
      </c>
      <c r="N240" s="1">
        <f t="shared" si="24"/>
        <v>0.52523899719093525</v>
      </c>
      <c r="O240" s="1">
        <f t="shared" si="25"/>
        <v>0.75278622087132718</v>
      </c>
      <c r="P240" s="1">
        <f t="shared" si="26"/>
        <v>0.3086457248916607</v>
      </c>
      <c r="Q240">
        <f t="shared" si="27"/>
        <v>0.46618067011463882</v>
      </c>
    </row>
    <row r="241" spans="1:17" x14ac:dyDescent="0.3">
      <c r="A241" s="2" t="s">
        <v>57</v>
      </c>
      <c r="B241" s="2" t="s">
        <v>37</v>
      </c>
      <c r="C241">
        <v>980342</v>
      </c>
      <c r="D241">
        <v>73724</v>
      </c>
      <c r="E241">
        <v>225.03334705796399</v>
      </c>
      <c r="F241">
        <v>-36.8575168038332</v>
      </c>
      <c r="G241">
        <v>3.22</v>
      </c>
      <c r="H241">
        <v>23.124781413351801</v>
      </c>
      <c r="I241">
        <v>73724</v>
      </c>
      <c r="J241">
        <v>1054066</v>
      </c>
      <c r="K241" s="1">
        <f t="shared" si="21"/>
        <v>6.9942489369735864E-2</v>
      </c>
      <c r="L241" s="1">
        <f t="shared" si="22"/>
        <v>0.1867003413839789</v>
      </c>
      <c r="M241" s="1">
        <f t="shared" si="23"/>
        <v>0.36553182256265865</v>
      </c>
      <c r="N241" s="1">
        <f t="shared" si="24"/>
        <v>0.87437517318255109</v>
      </c>
      <c r="O241" s="1">
        <f t="shared" si="25"/>
        <v>0.40780141843971629</v>
      </c>
      <c r="P241" s="1">
        <f t="shared" si="26"/>
        <v>0.17377138793054439</v>
      </c>
      <c r="Q241">
        <f t="shared" si="27"/>
        <v>0.3897603903985935</v>
      </c>
    </row>
    <row r="242" spans="1:17" x14ac:dyDescent="0.3">
      <c r="A242" s="2" t="s">
        <v>57</v>
      </c>
      <c r="B242" s="2" t="s">
        <v>38</v>
      </c>
      <c r="C242">
        <v>823202</v>
      </c>
      <c r="D242">
        <v>99420</v>
      </c>
      <c r="E242">
        <v>81.290062452445298</v>
      </c>
      <c r="F242">
        <v>-84.162736679101798</v>
      </c>
      <c r="G242">
        <v>5.48</v>
      </c>
      <c r="H242">
        <v>32.573172509710098</v>
      </c>
      <c r="I242">
        <v>99420</v>
      </c>
      <c r="J242">
        <v>922622</v>
      </c>
      <c r="K242" s="1">
        <f t="shared" si="21"/>
        <v>0.1077581067869615</v>
      </c>
      <c r="L242" s="1">
        <f t="shared" si="22"/>
        <v>0.15478964098329795</v>
      </c>
      <c r="M242" s="1">
        <f t="shared" si="23"/>
        <v>0.49519369048880546</v>
      </c>
      <c r="N242" s="1">
        <f t="shared" si="24"/>
        <v>0.15035147656141404</v>
      </c>
      <c r="O242" s="1">
        <f t="shared" si="25"/>
        <v>0.52228976697061802</v>
      </c>
      <c r="P242" s="1">
        <f t="shared" si="26"/>
        <v>3.8282529818841053E-2</v>
      </c>
      <c r="Q242">
        <f t="shared" si="27"/>
        <v>0.26410232195758437</v>
      </c>
    </row>
    <row r="243" spans="1:17" x14ac:dyDescent="0.3">
      <c r="A243" s="2" t="s">
        <v>57</v>
      </c>
      <c r="B243" s="2" t="s">
        <v>39</v>
      </c>
      <c r="C243">
        <v>4729256</v>
      </c>
      <c r="D243">
        <v>137698</v>
      </c>
      <c r="E243">
        <v>228.66458158429199</v>
      </c>
      <c r="F243">
        <v>135.00387133103399</v>
      </c>
      <c r="G243">
        <v>-3.81</v>
      </c>
      <c r="H243">
        <v>10.431571834195401</v>
      </c>
      <c r="I243">
        <v>137698</v>
      </c>
      <c r="J243">
        <v>4866954</v>
      </c>
      <c r="K243" s="1">
        <f t="shared" si="21"/>
        <v>2.8292439172426943E-2</v>
      </c>
      <c r="L243" s="1">
        <f t="shared" si="22"/>
        <v>0.94799900169910167</v>
      </c>
      <c r="M243" s="1">
        <f t="shared" si="23"/>
        <v>0.68834425791085752</v>
      </c>
      <c r="N243" s="1">
        <f t="shared" si="24"/>
        <v>0.8926654178521749</v>
      </c>
      <c r="O243" s="1">
        <f t="shared" si="25"/>
        <v>5.1671732522796346E-2</v>
      </c>
      <c r="P243" s="1">
        <f t="shared" si="26"/>
        <v>0.66600677534196751</v>
      </c>
      <c r="Q243">
        <f t="shared" si="27"/>
        <v>0.75418664942931135</v>
      </c>
    </row>
    <row r="244" spans="1:17" x14ac:dyDescent="0.3">
      <c r="A244" s="2" t="s">
        <v>57</v>
      </c>
      <c r="B244" s="2" t="s">
        <v>40</v>
      </c>
      <c r="C244">
        <v>346475</v>
      </c>
      <c r="D244">
        <v>133046</v>
      </c>
      <c r="E244">
        <v>196.86311965482199</v>
      </c>
      <c r="F244">
        <v>-80.066164566762794</v>
      </c>
      <c r="G244">
        <v>-4.58</v>
      </c>
      <c r="H244">
        <v>60.567751539561897</v>
      </c>
      <c r="I244">
        <v>133046</v>
      </c>
      <c r="J244">
        <v>479521</v>
      </c>
      <c r="K244" s="1">
        <f t="shared" si="21"/>
        <v>0.27745604467791818</v>
      </c>
      <c r="L244" s="1">
        <f t="shared" si="22"/>
        <v>5.7979837814687657E-2</v>
      </c>
      <c r="M244" s="1">
        <f t="shared" si="23"/>
        <v>0.6648702927181257</v>
      </c>
      <c r="N244" s="1">
        <f t="shared" si="24"/>
        <v>0.73248393815856816</v>
      </c>
      <c r="O244" s="1">
        <f t="shared" si="25"/>
        <v>1.2664640324214792E-2</v>
      </c>
      <c r="P244" s="1">
        <f t="shared" si="26"/>
        <v>5.0015693286563093E-2</v>
      </c>
      <c r="Q244">
        <f t="shared" si="27"/>
        <v>0.33927533740746352</v>
      </c>
    </row>
    <row r="245" spans="1:17" x14ac:dyDescent="0.3">
      <c r="A245" s="2" t="s">
        <v>57</v>
      </c>
      <c r="B245" s="2" t="s">
        <v>41</v>
      </c>
      <c r="C245">
        <v>4095643</v>
      </c>
      <c r="D245">
        <v>94681</v>
      </c>
      <c r="E245">
        <v>233.87213017418199</v>
      </c>
      <c r="F245">
        <v>106.940240726402</v>
      </c>
      <c r="G245">
        <v>-4.4400000000000004</v>
      </c>
      <c r="H245">
        <v>8.4643034422522696</v>
      </c>
      <c r="I245">
        <v>94681</v>
      </c>
      <c r="J245">
        <v>4190324</v>
      </c>
      <c r="K245" s="1">
        <f t="shared" si="21"/>
        <v>2.2595150160226275E-2</v>
      </c>
      <c r="L245" s="1">
        <f t="shared" si="22"/>
        <v>0.81933007836337135</v>
      </c>
      <c r="M245" s="1">
        <f t="shared" si="23"/>
        <v>0.47128072379741343</v>
      </c>
      <c r="N245" s="1">
        <f t="shared" si="24"/>
        <v>0.91889543333243606</v>
      </c>
      <c r="O245" s="1">
        <f t="shared" si="25"/>
        <v>1.9756838905775058E-2</v>
      </c>
      <c r="P245" s="1">
        <f t="shared" si="26"/>
        <v>0.58562855756566456</v>
      </c>
      <c r="Q245">
        <f t="shared" si="27"/>
        <v>0.64890333469016459</v>
      </c>
    </row>
    <row r="246" spans="1:17" x14ac:dyDescent="0.3">
      <c r="A246" s="2" t="s">
        <v>57</v>
      </c>
      <c r="B246" s="2" t="s">
        <v>42</v>
      </c>
      <c r="C246">
        <v>2231016</v>
      </c>
      <c r="D246">
        <v>117627</v>
      </c>
      <c r="E246">
        <v>135.73795591752301</v>
      </c>
      <c r="F246">
        <v>-32.681072710635597</v>
      </c>
      <c r="G246">
        <v>3.56</v>
      </c>
      <c r="H246">
        <v>17.416391636720601</v>
      </c>
      <c r="I246">
        <v>117627</v>
      </c>
      <c r="J246">
        <v>2348643</v>
      </c>
      <c r="K246" s="1">
        <f t="shared" si="21"/>
        <v>5.0082962800221231E-2</v>
      </c>
      <c r="L246" s="1">
        <f t="shared" si="22"/>
        <v>0.44067694385897721</v>
      </c>
      <c r="M246" s="1">
        <f t="shared" si="23"/>
        <v>0.58706610757050515</v>
      </c>
      <c r="N246" s="1">
        <f t="shared" si="24"/>
        <v>0.42460126296365069</v>
      </c>
      <c r="O246" s="1">
        <f t="shared" si="25"/>
        <v>0.4250253292806484</v>
      </c>
      <c r="P246" s="1">
        <f t="shared" si="26"/>
        <v>0.18573331607815133</v>
      </c>
      <c r="Q246">
        <f t="shared" si="27"/>
        <v>0.44699957437187843</v>
      </c>
    </row>
    <row r="247" spans="1:17" x14ac:dyDescent="0.3">
      <c r="A247" s="2" t="s">
        <v>57</v>
      </c>
      <c r="B247" s="2" t="s">
        <v>43</v>
      </c>
      <c r="C247">
        <v>701824</v>
      </c>
      <c r="D247">
        <v>182922</v>
      </c>
      <c r="E247">
        <v>170.21834515216699</v>
      </c>
      <c r="F247">
        <v>-68.198775251636505</v>
      </c>
      <c r="G247">
        <v>-3.9</v>
      </c>
      <c r="H247">
        <v>51.0416376005223</v>
      </c>
      <c r="I247">
        <v>182922</v>
      </c>
      <c r="J247">
        <v>884746</v>
      </c>
      <c r="K247" s="1">
        <f t="shared" si="21"/>
        <v>0.20675086408980656</v>
      </c>
      <c r="L247" s="1">
        <f t="shared" si="22"/>
        <v>0.1301411937818607</v>
      </c>
      <c r="M247" s="1">
        <f t="shared" si="23"/>
        <v>0.91654430130640796</v>
      </c>
      <c r="N247" s="1">
        <f t="shared" si="24"/>
        <v>0.59827629023963191</v>
      </c>
      <c r="O247" s="1">
        <f t="shared" si="25"/>
        <v>4.7112462006079034E-2</v>
      </c>
      <c r="P247" s="1">
        <f t="shared" si="26"/>
        <v>8.4005579208520462E-2</v>
      </c>
      <c r="Q247">
        <f t="shared" si="27"/>
        <v>0.40745255531963959</v>
      </c>
    </row>
    <row r="248" spans="1:17" x14ac:dyDescent="0.3">
      <c r="A248" s="2" t="s">
        <v>57</v>
      </c>
      <c r="B248" s="2" t="s">
        <v>44</v>
      </c>
      <c r="C248">
        <v>2906814</v>
      </c>
      <c r="D248">
        <v>141491</v>
      </c>
      <c r="E248">
        <v>218.61329492947701</v>
      </c>
      <c r="F248">
        <v>40.719363693953603</v>
      </c>
      <c r="G248">
        <v>5.79</v>
      </c>
      <c r="H248">
        <v>16.2971546122441</v>
      </c>
      <c r="I248">
        <v>141491</v>
      </c>
      <c r="J248">
        <v>3048305</v>
      </c>
      <c r="K248" s="1">
        <f t="shared" si="21"/>
        <v>4.6416287084133638E-2</v>
      </c>
      <c r="L248" s="1">
        <f t="shared" si="22"/>
        <v>0.57791245047332984</v>
      </c>
      <c r="M248" s="1">
        <f t="shared" si="23"/>
        <v>0.70748371405359856</v>
      </c>
      <c r="N248" s="1">
        <f t="shared" si="24"/>
        <v>0.84203787208828429</v>
      </c>
      <c r="O248" s="1">
        <f t="shared" si="25"/>
        <v>0.53799392097264442</v>
      </c>
      <c r="P248" s="1">
        <f t="shared" si="26"/>
        <v>0.39596257491218023</v>
      </c>
      <c r="Q248">
        <f t="shared" si="27"/>
        <v>0.64094351018520435</v>
      </c>
    </row>
    <row r="249" spans="1:17" x14ac:dyDescent="0.3">
      <c r="A249" s="2" t="s">
        <v>57</v>
      </c>
      <c r="B249" s="2" t="s">
        <v>45</v>
      </c>
      <c r="C249">
        <v>4525959</v>
      </c>
      <c r="D249">
        <v>87342</v>
      </c>
      <c r="E249">
        <v>160.53580722350401</v>
      </c>
      <c r="F249">
        <v>56.387696206095598</v>
      </c>
      <c r="G249">
        <v>3.68</v>
      </c>
      <c r="H249">
        <v>7.1660424008481796</v>
      </c>
      <c r="I249">
        <v>87342</v>
      </c>
      <c r="J249">
        <v>4613301</v>
      </c>
      <c r="K249" s="1">
        <f t="shared" si="21"/>
        <v>1.8932647143552958E-2</v>
      </c>
      <c r="L249" s="1">
        <f t="shared" si="22"/>
        <v>0.90671511688710449</v>
      </c>
      <c r="M249" s="1">
        <f t="shared" si="23"/>
        <v>0.43424817208858746</v>
      </c>
      <c r="N249" s="1">
        <f t="shared" si="24"/>
        <v>0.54950610300602398</v>
      </c>
      <c r="O249" s="1">
        <f t="shared" si="25"/>
        <v>0.4311043566362715</v>
      </c>
      <c r="P249" s="1">
        <f t="shared" si="26"/>
        <v>0.44083890116501417</v>
      </c>
      <c r="Q249">
        <f t="shared" si="27"/>
        <v>0.6230078803139667</v>
      </c>
    </row>
    <row r="250" spans="1:17" x14ac:dyDescent="0.3">
      <c r="A250" s="2" t="s">
        <v>57</v>
      </c>
      <c r="B250" s="2" t="s">
        <v>46</v>
      </c>
      <c r="C250">
        <v>812898</v>
      </c>
      <c r="D250">
        <v>73448</v>
      </c>
      <c r="E250">
        <v>140.80280161471899</v>
      </c>
      <c r="F250">
        <v>-73.646793834025402</v>
      </c>
      <c r="G250">
        <v>11.36</v>
      </c>
      <c r="H250">
        <v>26.546910155508701</v>
      </c>
      <c r="I250">
        <v>73448</v>
      </c>
      <c r="J250">
        <v>886346</v>
      </c>
      <c r="K250" s="1">
        <f t="shared" si="21"/>
        <v>8.2866059078508844E-2</v>
      </c>
      <c r="L250" s="1">
        <f t="shared" si="22"/>
        <v>0.15269718930372167</v>
      </c>
      <c r="M250" s="1">
        <f t="shared" si="23"/>
        <v>0.36413912815311567</v>
      </c>
      <c r="N250" s="1">
        <f t="shared" si="24"/>
        <v>0.45011249512008289</v>
      </c>
      <c r="O250" s="1">
        <f t="shared" si="25"/>
        <v>0.8201621073961497</v>
      </c>
      <c r="P250" s="1">
        <f t="shared" si="26"/>
        <v>6.8401681400931599E-2</v>
      </c>
      <c r="Q250">
        <f t="shared" si="27"/>
        <v>0.32335767619830619</v>
      </c>
    </row>
    <row r="251" spans="1:17" x14ac:dyDescent="0.3">
      <c r="A251" s="2" t="s">
        <v>57</v>
      </c>
      <c r="B251" s="2" t="s">
        <v>47</v>
      </c>
      <c r="C251">
        <v>2590285</v>
      </c>
      <c r="D251">
        <v>153902</v>
      </c>
      <c r="E251">
        <v>75.249973853822596</v>
      </c>
      <c r="F251">
        <v>-56.394734989793697</v>
      </c>
      <c r="G251">
        <v>1.06</v>
      </c>
      <c r="H251">
        <v>19.2023876030797</v>
      </c>
      <c r="I251">
        <v>153902</v>
      </c>
      <c r="J251">
        <v>2744187</v>
      </c>
      <c r="K251" s="1">
        <f t="shared" si="21"/>
        <v>5.6082912716954057E-2</v>
      </c>
      <c r="L251" s="1">
        <f t="shared" si="22"/>
        <v>0.51363434122598906</v>
      </c>
      <c r="M251" s="1">
        <f t="shared" si="23"/>
        <v>0.77010954853489555</v>
      </c>
      <c r="N251" s="1">
        <f t="shared" si="24"/>
        <v>0.11992802208772869</v>
      </c>
      <c r="O251" s="1">
        <f t="shared" si="25"/>
        <v>0.29837892603850052</v>
      </c>
      <c r="P251" s="1">
        <f t="shared" si="26"/>
        <v>0.11781402445829688</v>
      </c>
      <c r="Q251">
        <f t="shared" si="27"/>
        <v>0.43790430603004549</v>
      </c>
    </row>
    <row r="252" spans="1:17" x14ac:dyDescent="0.3">
      <c r="A252" s="2" t="s">
        <v>57</v>
      </c>
      <c r="B252" s="2" t="s">
        <v>48</v>
      </c>
      <c r="C252">
        <v>3451092</v>
      </c>
      <c r="D252">
        <v>152253</v>
      </c>
      <c r="E252">
        <v>231.25734560526399</v>
      </c>
      <c r="F252">
        <v>75.962553670725697</v>
      </c>
      <c r="G252">
        <v>14.37</v>
      </c>
      <c r="H252">
        <v>14.999911332320499</v>
      </c>
      <c r="I252">
        <v>152253</v>
      </c>
      <c r="J252">
        <v>3603345</v>
      </c>
      <c r="K252" s="1">
        <f t="shared" si="21"/>
        <v>4.2253239698113836E-2</v>
      </c>
      <c r="L252" s="1">
        <f t="shared" si="22"/>
        <v>0.68843995583594808</v>
      </c>
      <c r="M252" s="1">
        <f t="shared" si="23"/>
        <v>0.76178870403730004</v>
      </c>
      <c r="N252" s="1">
        <f t="shared" si="24"/>
        <v>0.90572496770232747</v>
      </c>
      <c r="O252" s="1">
        <f t="shared" si="25"/>
        <v>0.97264437689969596</v>
      </c>
      <c r="P252" s="1">
        <f t="shared" si="26"/>
        <v>0.49690406886902594</v>
      </c>
      <c r="Q252">
        <f t="shared" si="27"/>
        <v>0.75950099866924459</v>
      </c>
    </row>
    <row r="253" spans="1:17" x14ac:dyDescent="0.3">
      <c r="A253" s="2" t="s">
        <v>57</v>
      </c>
      <c r="B253" s="2" t="s">
        <v>49</v>
      </c>
      <c r="C253">
        <v>1976810</v>
      </c>
      <c r="D253">
        <v>197494</v>
      </c>
      <c r="E253">
        <v>174.53861097620199</v>
      </c>
      <c r="F253">
        <v>-19.863447596255298</v>
      </c>
      <c r="G253">
        <v>3.93</v>
      </c>
      <c r="H253">
        <v>28.552117872506201</v>
      </c>
      <c r="I253">
        <v>197494</v>
      </c>
      <c r="J253">
        <v>2174304</v>
      </c>
      <c r="K253" s="1">
        <f t="shared" si="21"/>
        <v>9.0830904970050183E-2</v>
      </c>
      <c r="L253" s="1">
        <f t="shared" si="22"/>
        <v>0.38905487751014495</v>
      </c>
      <c r="M253" s="1">
        <f t="shared" si="23"/>
        <v>0.99007452933488749</v>
      </c>
      <c r="N253" s="1">
        <f t="shared" si="24"/>
        <v>0.62003713173485753</v>
      </c>
      <c r="O253" s="1">
        <f t="shared" si="25"/>
        <v>0.44376899696048627</v>
      </c>
      <c r="P253" s="1">
        <f t="shared" si="26"/>
        <v>0.22244481208282807</v>
      </c>
      <c r="Q253">
        <f t="shared" si="27"/>
        <v>0.57431664671357552</v>
      </c>
    </row>
    <row r="254" spans="1:17" x14ac:dyDescent="0.3">
      <c r="A254" s="2" t="s">
        <v>58</v>
      </c>
      <c r="B254" s="2" t="s">
        <v>14</v>
      </c>
      <c r="C254">
        <v>2968202</v>
      </c>
      <c r="D254">
        <v>191720</v>
      </c>
      <c r="E254">
        <v>177.91578399719899</v>
      </c>
      <c r="F254">
        <v>68.226815948931403</v>
      </c>
      <c r="G254">
        <v>-0.76</v>
      </c>
      <c r="H254">
        <v>20.531811617522699</v>
      </c>
      <c r="I254">
        <v>191720</v>
      </c>
      <c r="J254">
        <v>3159922</v>
      </c>
      <c r="K254" s="1">
        <f t="shared" si="21"/>
        <v>6.0672383685420085E-2</v>
      </c>
      <c r="L254" s="1">
        <f t="shared" si="22"/>
        <v>0.59037862125223406</v>
      </c>
      <c r="M254" s="1">
        <f t="shared" si="23"/>
        <v>0.96093895860770928</v>
      </c>
      <c r="N254" s="1">
        <f t="shared" si="24"/>
        <v>0.63704768844713633</v>
      </c>
      <c r="O254" s="1">
        <f t="shared" si="25"/>
        <v>0.20618034447821681</v>
      </c>
      <c r="P254" s="1">
        <f t="shared" si="26"/>
        <v>0.47474781902300217</v>
      </c>
      <c r="Q254">
        <f t="shared" si="27"/>
        <v>0.64236961112975854</v>
      </c>
    </row>
    <row r="255" spans="1:17" x14ac:dyDescent="0.3">
      <c r="A255" s="2" t="s">
        <v>58</v>
      </c>
      <c r="B255" s="2" t="s">
        <v>15</v>
      </c>
      <c r="C255">
        <v>650862</v>
      </c>
      <c r="D255">
        <v>153147</v>
      </c>
      <c r="E255">
        <v>200.122137936266</v>
      </c>
      <c r="F255">
        <v>-51.853976011769603</v>
      </c>
      <c r="G255">
        <v>12.38</v>
      </c>
      <c r="H255">
        <v>48.485337765641702</v>
      </c>
      <c r="I255">
        <v>153147</v>
      </c>
      <c r="J255">
        <v>804009</v>
      </c>
      <c r="K255" s="1">
        <f t="shared" si="21"/>
        <v>0.1904792110536076</v>
      </c>
      <c r="L255" s="1">
        <f t="shared" si="22"/>
        <v>0.11979224944038493</v>
      </c>
      <c r="M255" s="1">
        <f t="shared" si="23"/>
        <v>0.76629982288560228</v>
      </c>
      <c r="N255" s="1">
        <f t="shared" si="24"/>
        <v>0.74889935867690771</v>
      </c>
      <c r="O255" s="1">
        <f t="shared" si="25"/>
        <v>0.87183383991894625</v>
      </c>
      <c r="P255" s="1">
        <f t="shared" si="26"/>
        <v>0.13081940209981568</v>
      </c>
      <c r="Q255">
        <f t="shared" si="27"/>
        <v>0.48354743896279301</v>
      </c>
    </row>
    <row r="256" spans="1:17" x14ac:dyDescent="0.3">
      <c r="A256" s="2" t="s">
        <v>58</v>
      </c>
      <c r="B256" s="2" t="s">
        <v>16</v>
      </c>
      <c r="C256">
        <v>469813</v>
      </c>
      <c r="D256">
        <v>149603</v>
      </c>
      <c r="E256">
        <v>222.46761465638599</v>
      </c>
      <c r="F256">
        <v>-58.766177093982897</v>
      </c>
      <c r="G256">
        <v>2.61</v>
      </c>
      <c r="H256">
        <v>56.019284326803799</v>
      </c>
      <c r="I256">
        <v>149603</v>
      </c>
      <c r="J256">
        <v>619416</v>
      </c>
      <c r="K256" s="1">
        <f t="shared" si="21"/>
        <v>0.24152266005398634</v>
      </c>
      <c r="L256" s="1">
        <f t="shared" si="22"/>
        <v>8.3026305716044316E-2</v>
      </c>
      <c r="M256" s="1">
        <f t="shared" si="23"/>
        <v>0.74841681930799231</v>
      </c>
      <c r="N256" s="1">
        <f t="shared" si="24"/>
        <v>0.86145177948781837</v>
      </c>
      <c r="O256" s="1">
        <f t="shared" si="25"/>
        <v>0.37689969604863216</v>
      </c>
      <c r="P256" s="1">
        <f t="shared" si="26"/>
        <v>0.11102187797590438</v>
      </c>
      <c r="Q256">
        <f t="shared" si="27"/>
        <v>0.43724592512763089</v>
      </c>
    </row>
    <row r="257" spans="1:17" x14ac:dyDescent="0.3">
      <c r="A257" s="2" t="s">
        <v>58</v>
      </c>
      <c r="B257" s="2" t="s">
        <v>17</v>
      </c>
      <c r="C257">
        <v>3192436</v>
      </c>
      <c r="D257">
        <v>68812</v>
      </c>
      <c r="E257">
        <v>59.363777302431401</v>
      </c>
      <c r="F257">
        <v>-42.069171882402799</v>
      </c>
      <c r="G257">
        <v>12.23</v>
      </c>
      <c r="H257">
        <v>7.9375167979550598</v>
      </c>
      <c r="I257">
        <v>68812</v>
      </c>
      <c r="J257">
        <v>3261248</v>
      </c>
      <c r="K257" s="1">
        <f t="shared" si="21"/>
        <v>2.1099897953176208E-2</v>
      </c>
      <c r="L257" s="1">
        <f t="shared" si="22"/>
        <v>0.63591422004087028</v>
      </c>
      <c r="M257" s="1">
        <f t="shared" si="23"/>
        <v>0.34074589886818352</v>
      </c>
      <c r="N257" s="1">
        <f t="shared" si="24"/>
        <v>3.991049094563999E-2</v>
      </c>
      <c r="O257" s="1">
        <f t="shared" si="25"/>
        <v>0.8642350557244175</v>
      </c>
      <c r="P257" s="1">
        <f t="shared" si="26"/>
        <v>0.15884446871678087</v>
      </c>
      <c r="Q257">
        <f t="shared" si="27"/>
        <v>0.41804650236459828</v>
      </c>
    </row>
    <row r="258" spans="1:17" x14ac:dyDescent="0.3">
      <c r="A258" s="2" t="s">
        <v>58</v>
      </c>
      <c r="B258" s="2" t="s">
        <v>18</v>
      </c>
      <c r="C258">
        <v>438844</v>
      </c>
      <c r="D258">
        <v>71613</v>
      </c>
      <c r="E258">
        <v>236.84659040820199</v>
      </c>
      <c r="F258">
        <v>-63.823155374909597</v>
      </c>
      <c r="G258">
        <v>9.5</v>
      </c>
      <c r="H258">
        <v>39.494496040237301</v>
      </c>
      <c r="I258">
        <v>71613</v>
      </c>
      <c r="J258">
        <v>510457</v>
      </c>
      <c r="K258" s="1">
        <f t="shared" si="21"/>
        <v>0.14029193448223848</v>
      </c>
      <c r="L258" s="1">
        <f t="shared" si="22"/>
        <v>7.6737375585532105E-2</v>
      </c>
      <c r="M258" s="1">
        <f t="shared" si="23"/>
        <v>0.3548797287273498</v>
      </c>
      <c r="N258" s="1">
        <f t="shared" si="24"/>
        <v>0.93387755719302479</v>
      </c>
      <c r="O258" s="1">
        <f t="shared" si="25"/>
        <v>0.72593718338399182</v>
      </c>
      <c r="P258" s="1">
        <f t="shared" si="26"/>
        <v>9.6537975045423538E-2</v>
      </c>
      <c r="Q258">
        <f t="shared" si="27"/>
        <v>0.3846010409183202</v>
      </c>
    </row>
    <row r="259" spans="1:17" x14ac:dyDescent="0.3">
      <c r="A259" s="2" t="s">
        <v>58</v>
      </c>
      <c r="B259" s="2" t="s">
        <v>19</v>
      </c>
      <c r="C259">
        <v>997191</v>
      </c>
      <c r="D259">
        <v>177364</v>
      </c>
      <c r="E259">
        <v>152.057587767282</v>
      </c>
      <c r="F259">
        <v>-46.557614143580203</v>
      </c>
      <c r="G259">
        <v>9.36</v>
      </c>
      <c r="H259">
        <v>41.570166531215797</v>
      </c>
      <c r="I259">
        <v>177364</v>
      </c>
      <c r="J259">
        <v>1174555</v>
      </c>
      <c r="K259" s="1">
        <f t="shared" ref="K259:K322" si="28">I259/J259</f>
        <v>0.15100527433794075</v>
      </c>
      <c r="L259" s="1">
        <f t="shared" ref="L259:L322" si="29">(C259-$A$435)/($A$436-$A$435)</f>
        <v>0.19012189790078604</v>
      </c>
      <c r="M259" s="1">
        <f t="shared" ref="M259:M322" si="30">(D259-$B$435)/($B$436-$B$435)</f>
        <v>0.88849866533452415</v>
      </c>
      <c r="N259" s="1">
        <f t="shared" ref="N259:N322" si="31">(E259-$C$435)/($C$436-$C$435)</f>
        <v>0.50680197384753789</v>
      </c>
      <c r="O259" s="1">
        <f t="shared" ref="O259:O322" si="32">(G259-$E$435)/($E$436-$E$435)</f>
        <v>0.71884498480243153</v>
      </c>
      <c r="P259" s="1">
        <f t="shared" ref="P259:P322" si="33">(F259-$D$435)/($D$436-$D$435)</f>
        <v>0.14598893357138409</v>
      </c>
      <c r="Q259">
        <f t="shared" ref="Q259:Q322" si="34">(0.35)*(L259)+(0.25)*(M259)+(0.2)*(N259)+(0.1)*(O259)+(0.1)*(P259)</f>
        <v>0.47651111720579531</v>
      </c>
    </row>
    <row r="260" spans="1:17" x14ac:dyDescent="0.3">
      <c r="A260" s="2" t="s">
        <v>58</v>
      </c>
      <c r="B260" s="2" t="s">
        <v>20</v>
      </c>
      <c r="C260">
        <v>4586601</v>
      </c>
      <c r="D260">
        <v>196887</v>
      </c>
      <c r="E260">
        <v>93.007445612908398</v>
      </c>
      <c r="F260">
        <v>33.127197466523697</v>
      </c>
      <c r="G260">
        <v>2.4300000000000002</v>
      </c>
      <c r="H260">
        <v>14.6543759765499</v>
      </c>
      <c r="I260">
        <v>196887</v>
      </c>
      <c r="J260">
        <v>4783488</v>
      </c>
      <c r="K260" s="1">
        <f t="shared" si="28"/>
        <v>4.1159714417596534E-2</v>
      </c>
      <c r="L260" s="1">
        <f t="shared" si="29"/>
        <v>0.91902979611389646</v>
      </c>
      <c r="M260" s="1">
        <f t="shared" si="30"/>
        <v>0.98701161083274047</v>
      </c>
      <c r="N260" s="1">
        <f t="shared" si="31"/>
        <v>0.20937102028373028</v>
      </c>
      <c r="O260" s="1">
        <f t="shared" si="32"/>
        <v>0.36778115501519754</v>
      </c>
      <c r="P260" s="1">
        <f t="shared" si="33"/>
        <v>0.37421753418599807</v>
      </c>
      <c r="Q260">
        <f t="shared" si="34"/>
        <v>0.68448740432491439</v>
      </c>
    </row>
    <row r="261" spans="1:17" x14ac:dyDescent="0.3">
      <c r="A261" s="2" t="s">
        <v>58</v>
      </c>
      <c r="B261" s="2" t="s">
        <v>21</v>
      </c>
      <c r="C261">
        <v>2488672</v>
      </c>
      <c r="D261">
        <v>85929</v>
      </c>
      <c r="E261">
        <v>90.111050217101607</v>
      </c>
      <c r="F261">
        <v>-30.578759693788498</v>
      </c>
      <c r="G261">
        <v>10.62</v>
      </c>
      <c r="H261">
        <v>12.135201815570399</v>
      </c>
      <c r="I261">
        <v>85929</v>
      </c>
      <c r="J261">
        <v>2574601</v>
      </c>
      <c r="K261" s="1">
        <f t="shared" si="28"/>
        <v>3.3375657043557432E-2</v>
      </c>
      <c r="L261" s="1">
        <f t="shared" si="29"/>
        <v>0.49299960786838187</v>
      </c>
      <c r="M261" s="1">
        <f t="shared" si="30"/>
        <v>0.42711818223103587</v>
      </c>
      <c r="N261" s="1">
        <f t="shared" si="31"/>
        <v>0.19478210291549614</v>
      </c>
      <c r="O261" s="1">
        <f t="shared" si="32"/>
        <v>0.78267477203647406</v>
      </c>
      <c r="P261" s="1">
        <f t="shared" si="33"/>
        <v>0.19175463868899706</v>
      </c>
      <c r="Q261">
        <f t="shared" si="34"/>
        <v>0.41572876996733898</v>
      </c>
    </row>
    <row r="262" spans="1:17" x14ac:dyDescent="0.3">
      <c r="A262" s="2" t="s">
        <v>58</v>
      </c>
      <c r="B262" s="2" t="s">
        <v>22</v>
      </c>
      <c r="C262">
        <v>3174352</v>
      </c>
      <c r="D262">
        <v>167834</v>
      </c>
      <c r="E262">
        <v>225.81029302378701</v>
      </c>
      <c r="F262">
        <v>125.828491634042</v>
      </c>
      <c r="G262">
        <v>-0.3</v>
      </c>
      <c r="H262">
        <v>17.456850373717199</v>
      </c>
      <c r="I262">
        <v>167834</v>
      </c>
      <c r="J262">
        <v>3342186</v>
      </c>
      <c r="K262" s="1">
        <f t="shared" si="28"/>
        <v>5.0216834131912469E-2</v>
      </c>
      <c r="L262" s="1">
        <f t="shared" si="29"/>
        <v>0.63224186986875675</v>
      </c>
      <c r="M262" s="1">
        <f t="shared" si="30"/>
        <v>0.84041034025139139</v>
      </c>
      <c r="N262" s="1">
        <f t="shared" si="31"/>
        <v>0.8782885893243475</v>
      </c>
      <c r="O262" s="1">
        <f t="shared" si="32"/>
        <v>0.22948328267477203</v>
      </c>
      <c r="P262" s="1">
        <f t="shared" si="33"/>
        <v>0.63972718672226259</v>
      </c>
      <c r="Q262">
        <f t="shared" si="34"/>
        <v>0.6939660043214857</v>
      </c>
    </row>
    <row r="263" spans="1:17" x14ac:dyDescent="0.3">
      <c r="A263" s="2" t="s">
        <v>58</v>
      </c>
      <c r="B263" s="2" t="s">
        <v>23</v>
      </c>
      <c r="C263">
        <v>991424</v>
      </c>
      <c r="D263">
        <v>122078</v>
      </c>
      <c r="E263">
        <v>191.827226174717</v>
      </c>
      <c r="F263">
        <v>-36.084582200832799</v>
      </c>
      <c r="G263">
        <v>13.74</v>
      </c>
      <c r="H263">
        <v>32.999940529932303</v>
      </c>
      <c r="I263">
        <v>122078</v>
      </c>
      <c r="J263">
        <v>1113502</v>
      </c>
      <c r="K263" s="1">
        <f t="shared" si="28"/>
        <v>0.10963428893706523</v>
      </c>
      <c r="L263" s="1">
        <f t="shared" si="29"/>
        <v>0.1889507829128089</v>
      </c>
      <c r="M263" s="1">
        <f t="shared" si="30"/>
        <v>0.60952582792150456</v>
      </c>
      <c r="N263" s="1">
        <f t="shared" si="31"/>
        <v>0.70711853605813557</v>
      </c>
      <c r="O263" s="1">
        <f t="shared" si="32"/>
        <v>0.94072948328267469</v>
      </c>
      <c r="P263" s="1">
        <f t="shared" si="33"/>
        <v>0.17598518224397697</v>
      </c>
      <c r="Q263">
        <f t="shared" si="34"/>
        <v>0.47160940476415147</v>
      </c>
    </row>
    <row r="264" spans="1:17" x14ac:dyDescent="0.3">
      <c r="A264" s="2" t="s">
        <v>58</v>
      </c>
      <c r="B264" s="2" t="s">
        <v>24</v>
      </c>
      <c r="C264">
        <v>3692317</v>
      </c>
      <c r="D264">
        <v>133266</v>
      </c>
      <c r="E264">
        <v>191.57864304604001</v>
      </c>
      <c r="F264">
        <v>119.30528888113101</v>
      </c>
      <c r="G264">
        <v>11.29</v>
      </c>
      <c r="H264">
        <v>12.6157617502421</v>
      </c>
      <c r="I264">
        <v>133266</v>
      </c>
      <c r="J264">
        <v>3825583</v>
      </c>
      <c r="K264" s="1">
        <f t="shared" si="28"/>
        <v>3.4835474749861657E-2</v>
      </c>
      <c r="L264" s="1">
        <f t="shared" si="29"/>
        <v>0.73742594733495692</v>
      </c>
      <c r="M264" s="1">
        <f t="shared" si="30"/>
        <v>0.66598041145037012</v>
      </c>
      <c r="N264" s="1">
        <f t="shared" si="31"/>
        <v>0.70586644225607531</v>
      </c>
      <c r="O264" s="1">
        <f t="shared" si="32"/>
        <v>0.81661600810536961</v>
      </c>
      <c r="P264" s="1">
        <f t="shared" si="33"/>
        <v>0.62104380897761979</v>
      </c>
      <c r="Q264">
        <f t="shared" si="34"/>
        <v>0.70953345458934136</v>
      </c>
    </row>
    <row r="265" spans="1:17" x14ac:dyDescent="0.3">
      <c r="A265" s="2" t="s">
        <v>58</v>
      </c>
      <c r="B265" s="2" t="s">
        <v>25</v>
      </c>
      <c r="C265">
        <v>1763924</v>
      </c>
      <c r="D265">
        <v>5763</v>
      </c>
      <c r="E265">
        <v>157.20294040697499</v>
      </c>
      <c r="F265">
        <v>-16.754357529361901</v>
      </c>
      <c r="G265">
        <v>7.46</v>
      </c>
      <c r="H265">
        <v>1.29000053722042</v>
      </c>
      <c r="I265">
        <v>5763</v>
      </c>
      <c r="J265">
        <v>1769687</v>
      </c>
      <c r="K265" s="1">
        <f t="shared" si="28"/>
        <v>3.2565080717663632E-3</v>
      </c>
      <c r="L265" s="1">
        <f t="shared" si="29"/>
        <v>0.34582373734532784</v>
      </c>
      <c r="M265" s="1">
        <f t="shared" si="30"/>
        <v>2.2601008189648646E-2</v>
      </c>
      <c r="N265" s="1">
        <f t="shared" si="31"/>
        <v>0.53271871318484687</v>
      </c>
      <c r="O265" s="1">
        <f t="shared" si="32"/>
        <v>0.62259371833839905</v>
      </c>
      <c r="P265" s="1">
        <f t="shared" si="33"/>
        <v>0.23134968693681973</v>
      </c>
      <c r="Q265">
        <f t="shared" si="34"/>
        <v>0.31862664328276813</v>
      </c>
    </row>
    <row r="266" spans="1:17" x14ac:dyDescent="0.3">
      <c r="A266" s="2" t="s">
        <v>58</v>
      </c>
      <c r="B266" s="2" t="s">
        <v>26</v>
      </c>
      <c r="C266">
        <v>912950</v>
      </c>
      <c r="D266">
        <v>133585</v>
      </c>
      <c r="E266">
        <v>78.2582522323668</v>
      </c>
      <c r="F266">
        <v>-76.754966887417197</v>
      </c>
      <c r="G266">
        <v>7.1</v>
      </c>
      <c r="H266">
        <v>36.920036758355202</v>
      </c>
      <c r="I266">
        <v>133585</v>
      </c>
      <c r="J266">
        <v>1046535</v>
      </c>
      <c r="K266" s="1">
        <f t="shared" si="28"/>
        <v>0.12764503814970354</v>
      </c>
      <c r="L266" s="1">
        <f t="shared" si="29"/>
        <v>0.17301492760389306</v>
      </c>
      <c r="M266" s="1">
        <f t="shared" si="30"/>
        <v>0.66759008361212446</v>
      </c>
      <c r="N266" s="1">
        <f t="shared" si="31"/>
        <v>0.13508048530071551</v>
      </c>
      <c r="O266" s="1">
        <f t="shared" si="32"/>
        <v>0.6043566362715298</v>
      </c>
      <c r="P266" s="1">
        <f t="shared" si="33"/>
        <v>5.9499433003650917E-2</v>
      </c>
      <c r="Q266">
        <f t="shared" si="34"/>
        <v>0.32085444955205483</v>
      </c>
    </row>
    <row r="267" spans="1:17" x14ac:dyDescent="0.3">
      <c r="A267" s="2" t="s">
        <v>58</v>
      </c>
      <c r="B267" s="2" t="s">
        <v>27</v>
      </c>
      <c r="C267">
        <v>887315</v>
      </c>
      <c r="D267">
        <v>166182</v>
      </c>
      <c r="E267">
        <v>66.825059777104201</v>
      </c>
      <c r="F267">
        <v>-80.018921475875104</v>
      </c>
      <c r="G267">
        <v>9.84</v>
      </c>
      <c r="H267">
        <v>42.829225736658003</v>
      </c>
      <c r="I267">
        <v>166182</v>
      </c>
      <c r="J267">
        <v>1053497</v>
      </c>
      <c r="K267" s="1">
        <f t="shared" si="28"/>
        <v>0.1577432114187321</v>
      </c>
      <c r="L267" s="1">
        <f t="shared" si="29"/>
        <v>0.1678091823781615</v>
      </c>
      <c r="M267" s="1">
        <f t="shared" si="30"/>
        <v>0.83207435777108341</v>
      </c>
      <c r="N267" s="1">
        <f t="shared" si="31"/>
        <v>7.7492387962063827E-2</v>
      </c>
      <c r="O267" s="1">
        <f t="shared" si="32"/>
        <v>0.74316109422492393</v>
      </c>
      <c r="P267" s="1">
        <f t="shared" si="33"/>
        <v>5.0151004198443816E-2</v>
      </c>
      <c r="Q267">
        <f t="shared" si="34"/>
        <v>0.36158149070987688</v>
      </c>
    </row>
    <row r="268" spans="1:17" x14ac:dyDescent="0.3">
      <c r="A268" s="2" t="s">
        <v>58</v>
      </c>
      <c r="B268" s="2" t="s">
        <v>28</v>
      </c>
      <c r="C268">
        <v>3919362</v>
      </c>
      <c r="D268">
        <v>102756</v>
      </c>
      <c r="E268">
        <v>181.993666023721</v>
      </c>
      <c r="F268">
        <v>107.757805108798</v>
      </c>
      <c r="G268">
        <v>-3.09</v>
      </c>
      <c r="H268">
        <v>9.4916249960165207</v>
      </c>
      <c r="I268">
        <v>102756</v>
      </c>
      <c r="J268">
        <v>4022118</v>
      </c>
      <c r="K268" s="1">
        <f t="shared" si="28"/>
        <v>2.5547733805920163E-2</v>
      </c>
      <c r="L268" s="1">
        <f t="shared" si="29"/>
        <v>0.78353238091312039</v>
      </c>
      <c r="M268" s="1">
        <f t="shared" si="30"/>
        <v>0.51202712726502064</v>
      </c>
      <c r="N268" s="1">
        <f t="shared" si="31"/>
        <v>0.65758766168713856</v>
      </c>
      <c r="O268" s="1">
        <f t="shared" si="32"/>
        <v>8.8145896656534953E-2</v>
      </c>
      <c r="P268" s="1">
        <f t="shared" si="33"/>
        <v>0.58797017789626882</v>
      </c>
      <c r="Q268">
        <f t="shared" si="34"/>
        <v>0.60137225492855539</v>
      </c>
    </row>
    <row r="269" spans="1:17" x14ac:dyDescent="0.3">
      <c r="A269" s="2" t="s">
        <v>58</v>
      </c>
      <c r="B269" s="2" t="s">
        <v>29</v>
      </c>
      <c r="C269">
        <v>2304111</v>
      </c>
      <c r="D269">
        <v>195309</v>
      </c>
      <c r="E269">
        <v>83.219306879195898</v>
      </c>
      <c r="F269">
        <v>-40.964995269630997</v>
      </c>
      <c r="G269">
        <v>2.0099999999999998</v>
      </c>
      <c r="H269">
        <v>25.320847217509002</v>
      </c>
      <c r="I269">
        <v>195309</v>
      </c>
      <c r="J269">
        <v>2499420</v>
      </c>
      <c r="K269" s="1">
        <f t="shared" si="28"/>
        <v>7.8141728881100408E-2</v>
      </c>
      <c r="L269" s="1">
        <f t="shared" si="29"/>
        <v>0.45552047603275708</v>
      </c>
      <c r="M269" s="1">
        <f t="shared" si="30"/>
        <v>0.97904903192600556</v>
      </c>
      <c r="N269" s="1">
        <f t="shared" si="31"/>
        <v>0.16006893004367617</v>
      </c>
      <c r="O269" s="1">
        <f t="shared" si="32"/>
        <v>0.34650455927051665</v>
      </c>
      <c r="P269" s="1">
        <f t="shared" si="33"/>
        <v>0.16200698711987815</v>
      </c>
      <c r="Q269">
        <f t="shared" si="34"/>
        <v>0.48705936524074112</v>
      </c>
    </row>
    <row r="270" spans="1:17" x14ac:dyDescent="0.3">
      <c r="A270" s="2" t="s">
        <v>58</v>
      </c>
      <c r="B270" s="2" t="s">
        <v>30</v>
      </c>
      <c r="C270">
        <v>1321610</v>
      </c>
      <c r="D270">
        <v>69628</v>
      </c>
      <c r="E270">
        <v>142.46304370639601</v>
      </c>
      <c r="F270">
        <v>-43.746452223273401</v>
      </c>
      <c r="G270">
        <v>-0.43</v>
      </c>
      <c r="H270">
        <v>17.405672817447599</v>
      </c>
      <c r="I270">
        <v>69628</v>
      </c>
      <c r="J270">
        <v>1391238</v>
      </c>
      <c r="K270" s="1">
        <f t="shared" si="28"/>
        <v>5.0047511640711369E-2</v>
      </c>
      <c r="L270" s="1">
        <f t="shared" si="29"/>
        <v>0.25600224353708811</v>
      </c>
      <c r="M270" s="1">
        <f t="shared" si="30"/>
        <v>0.34486343016596277</v>
      </c>
      <c r="N270" s="1">
        <f t="shared" si="31"/>
        <v>0.45847500485263049</v>
      </c>
      <c r="O270" s="1">
        <f t="shared" si="32"/>
        <v>0.22289766970618033</v>
      </c>
      <c r="P270" s="1">
        <f t="shared" si="33"/>
        <v>0.15404049996413641</v>
      </c>
      <c r="Q270">
        <f t="shared" si="34"/>
        <v>0.30520546071702925</v>
      </c>
    </row>
    <row r="271" spans="1:17" x14ac:dyDescent="0.3">
      <c r="A271" s="2" t="s">
        <v>58</v>
      </c>
      <c r="B271" s="2" t="s">
        <v>31</v>
      </c>
      <c r="C271">
        <v>3583620</v>
      </c>
      <c r="D271">
        <v>46733</v>
      </c>
      <c r="E271">
        <v>117.674507134705</v>
      </c>
      <c r="F271">
        <v>21.248817407757699</v>
      </c>
      <c r="G271">
        <v>6.03</v>
      </c>
      <c r="H271">
        <v>4.9576825886501501</v>
      </c>
      <c r="I271">
        <v>46733</v>
      </c>
      <c r="J271">
        <v>3630353</v>
      </c>
      <c r="K271" s="1">
        <f t="shared" si="28"/>
        <v>1.2872852860314135E-2</v>
      </c>
      <c r="L271" s="1">
        <f t="shared" si="29"/>
        <v>0.7153526534476411</v>
      </c>
      <c r="M271" s="1">
        <f t="shared" si="30"/>
        <v>0.22933539209898221</v>
      </c>
      <c r="N271" s="1">
        <f t="shared" si="31"/>
        <v>0.33361708239929228</v>
      </c>
      <c r="O271" s="1">
        <f t="shared" si="32"/>
        <v>0.55015197568389052</v>
      </c>
      <c r="P271" s="1">
        <f t="shared" si="33"/>
        <v>0.34019616921565093</v>
      </c>
      <c r="Q271">
        <f t="shared" si="34"/>
        <v>0.46346550770123257</v>
      </c>
    </row>
    <row r="272" spans="1:17" x14ac:dyDescent="0.3">
      <c r="A272" s="2" t="s">
        <v>58</v>
      </c>
      <c r="B272" s="2" t="s">
        <v>32</v>
      </c>
      <c r="C272">
        <v>2618734</v>
      </c>
      <c r="D272">
        <v>21835</v>
      </c>
      <c r="E272">
        <v>169.43317898528599</v>
      </c>
      <c r="F272">
        <v>26.982024597918599</v>
      </c>
      <c r="G272">
        <v>-0.18</v>
      </c>
      <c r="H272">
        <v>3.2275540136744199</v>
      </c>
      <c r="I272">
        <v>21835</v>
      </c>
      <c r="J272">
        <v>2640569</v>
      </c>
      <c r="K272" s="1">
        <f t="shared" si="28"/>
        <v>8.2690511022434944E-3</v>
      </c>
      <c r="L272" s="1">
        <f t="shared" si="29"/>
        <v>0.51941153045660493</v>
      </c>
      <c r="M272" s="1">
        <f t="shared" si="30"/>
        <v>0.10370022757434011</v>
      </c>
      <c r="N272" s="1">
        <f t="shared" si="31"/>
        <v>0.59432146958719501</v>
      </c>
      <c r="O272" s="1">
        <f t="shared" si="32"/>
        <v>0.23556231003039513</v>
      </c>
      <c r="P272" s="1">
        <f t="shared" si="33"/>
        <v>0.35661688763871052</v>
      </c>
      <c r="Q272">
        <f t="shared" si="34"/>
        <v>0.38580130623774633</v>
      </c>
    </row>
    <row r="273" spans="1:17" x14ac:dyDescent="0.3">
      <c r="A273" s="2" t="s">
        <v>58</v>
      </c>
      <c r="B273" s="2" t="s">
        <v>33</v>
      </c>
      <c r="C273">
        <v>4631467</v>
      </c>
      <c r="D273">
        <v>29126</v>
      </c>
      <c r="E273">
        <v>102.283121482609</v>
      </c>
      <c r="F273">
        <v>35.298013245033097</v>
      </c>
      <c r="G273">
        <v>9.94</v>
      </c>
      <c r="H273">
        <v>2.4537639341099502</v>
      </c>
      <c r="I273">
        <v>29126</v>
      </c>
      <c r="J273">
        <v>4660593</v>
      </c>
      <c r="K273" s="1">
        <f t="shared" si="28"/>
        <v>6.2494193335483278E-3</v>
      </c>
      <c r="L273" s="1">
        <f t="shared" si="29"/>
        <v>0.92814081484990862</v>
      </c>
      <c r="M273" s="1">
        <f t="shared" si="30"/>
        <v>0.14049057155976727</v>
      </c>
      <c r="N273" s="1">
        <f t="shared" si="31"/>
        <v>0.25609187510676162</v>
      </c>
      <c r="O273" s="1">
        <f t="shared" si="32"/>
        <v>0.74822695035460984</v>
      </c>
      <c r="P273" s="1">
        <f t="shared" si="33"/>
        <v>0.38043505842067299</v>
      </c>
      <c r="Q273">
        <f t="shared" si="34"/>
        <v>0.52405650398629045</v>
      </c>
    </row>
    <row r="274" spans="1:17" x14ac:dyDescent="0.3">
      <c r="A274" s="2" t="s">
        <v>58</v>
      </c>
      <c r="B274" s="2" t="s">
        <v>34</v>
      </c>
      <c r="C274">
        <v>1266750</v>
      </c>
      <c r="D274">
        <v>145348</v>
      </c>
      <c r="E274">
        <v>218.75252284189901</v>
      </c>
      <c r="F274">
        <v>-12.327341532639499</v>
      </c>
      <c r="G274">
        <v>-3.86</v>
      </c>
      <c r="H274">
        <v>31.4581888188245</v>
      </c>
      <c r="I274">
        <v>145348</v>
      </c>
      <c r="J274">
        <v>1412098</v>
      </c>
      <c r="K274" s="1">
        <f t="shared" si="28"/>
        <v>0.10293053314996552</v>
      </c>
      <c r="L274" s="1">
        <f t="shared" si="29"/>
        <v>0.24486172537505835</v>
      </c>
      <c r="M274" s="1">
        <f t="shared" si="30"/>
        <v>0.72694611382753804</v>
      </c>
      <c r="N274" s="1">
        <f t="shared" si="31"/>
        <v>0.84273915220791751</v>
      </c>
      <c r="O274" s="1">
        <f t="shared" si="32"/>
        <v>4.9138804457953399E-2</v>
      </c>
      <c r="P274" s="1">
        <f t="shared" si="33"/>
        <v>0.24402928854991249</v>
      </c>
      <c r="Q274">
        <f t="shared" si="34"/>
        <v>0.46530277208052501</v>
      </c>
    </row>
    <row r="275" spans="1:17" x14ac:dyDescent="0.3">
      <c r="A275" s="2" t="s">
        <v>58</v>
      </c>
      <c r="B275" s="2" t="s">
        <v>35</v>
      </c>
      <c r="C275">
        <v>2515732</v>
      </c>
      <c r="D275">
        <v>40312</v>
      </c>
      <c r="E275">
        <v>211.18572293747599</v>
      </c>
      <c r="F275">
        <v>53.207190160832504</v>
      </c>
      <c r="G275">
        <v>10.71</v>
      </c>
      <c r="H275">
        <v>6.0235040979013599</v>
      </c>
      <c r="I275">
        <v>40312</v>
      </c>
      <c r="J275">
        <v>2556044</v>
      </c>
      <c r="K275" s="1">
        <f t="shared" si="28"/>
        <v>1.5771246504363776E-2</v>
      </c>
      <c r="L275" s="1">
        <f t="shared" si="29"/>
        <v>0.49849473038869768</v>
      </c>
      <c r="M275" s="1">
        <f t="shared" si="30"/>
        <v>0.19693506310015793</v>
      </c>
      <c r="N275" s="1">
        <f t="shared" si="31"/>
        <v>0.80462577213991748</v>
      </c>
      <c r="O275" s="1">
        <f t="shared" si="32"/>
        <v>0.7872340425531914</v>
      </c>
      <c r="P275" s="1">
        <f t="shared" si="33"/>
        <v>0.43172948082141782</v>
      </c>
      <c r="Q275">
        <f t="shared" si="34"/>
        <v>0.5065284281765281</v>
      </c>
    </row>
    <row r="276" spans="1:17" x14ac:dyDescent="0.3">
      <c r="A276" s="2" t="s">
        <v>58</v>
      </c>
      <c r="B276" s="2" t="s">
        <v>36</v>
      </c>
      <c r="C276">
        <v>4556185</v>
      </c>
      <c r="D276">
        <v>30116</v>
      </c>
      <c r="E276">
        <v>149.18340510140899</v>
      </c>
      <c r="F276">
        <v>94.191106906338604</v>
      </c>
      <c r="G276">
        <v>9.3699999999999992</v>
      </c>
      <c r="H276">
        <v>2.5758614768822699</v>
      </c>
      <c r="I276">
        <v>30116</v>
      </c>
      <c r="J276">
        <v>4586301</v>
      </c>
      <c r="K276" s="1">
        <f t="shared" si="28"/>
        <v>6.5665118796171471E-3</v>
      </c>
      <c r="L276" s="1">
        <f t="shared" si="29"/>
        <v>0.91285316468086153</v>
      </c>
      <c r="M276" s="1">
        <f t="shared" si="30"/>
        <v>0.14548610585486713</v>
      </c>
      <c r="N276" s="1">
        <f t="shared" si="31"/>
        <v>0.49232494026492085</v>
      </c>
      <c r="O276" s="1">
        <f t="shared" si="32"/>
        <v>0.7193515704154001</v>
      </c>
      <c r="P276" s="1">
        <f t="shared" si="33"/>
        <v>0.54911323034071347</v>
      </c>
      <c r="Q276">
        <f t="shared" si="34"/>
        <v>0.58118160223061377</v>
      </c>
    </row>
    <row r="277" spans="1:17" x14ac:dyDescent="0.3">
      <c r="A277" s="2" t="s">
        <v>58</v>
      </c>
      <c r="B277" s="2" t="s">
        <v>37</v>
      </c>
      <c r="C277">
        <v>952215</v>
      </c>
      <c r="D277">
        <v>11441</v>
      </c>
      <c r="E277">
        <v>55.310193679072199</v>
      </c>
      <c r="F277">
        <v>-84.872280037842899</v>
      </c>
      <c r="G277">
        <v>13.24</v>
      </c>
      <c r="H277">
        <v>4.5856676342888898</v>
      </c>
      <c r="I277">
        <v>11441</v>
      </c>
      <c r="J277">
        <v>963656</v>
      </c>
      <c r="K277" s="1">
        <f t="shared" si="28"/>
        <v>1.1872493918991839E-2</v>
      </c>
      <c r="L277" s="1">
        <f t="shared" si="29"/>
        <v>0.18098854126834982</v>
      </c>
      <c r="M277" s="1">
        <f t="shared" si="30"/>
        <v>5.1252163470029317E-2</v>
      </c>
      <c r="N277" s="1">
        <f t="shared" si="31"/>
        <v>1.9492906864395514E-2</v>
      </c>
      <c r="O277" s="1">
        <f t="shared" si="32"/>
        <v>0.91540020263424515</v>
      </c>
      <c r="P277" s="1">
        <f t="shared" si="33"/>
        <v>3.6250297018527312E-2</v>
      </c>
      <c r="Q277">
        <f t="shared" si="34"/>
        <v>0.17522266164958611</v>
      </c>
    </row>
    <row r="278" spans="1:17" x14ac:dyDescent="0.3">
      <c r="A278" s="2" t="s">
        <v>58</v>
      </c>
      <c r="B278" s="2" t="s">
        <v>38</v>
      </c>
      <c r="C278">
        <v>1224094</v>
      </c>
      <c r="D278">
        <v>110546</v>
      </c>
      <c r="E278">
        <v>165.06323802673299</v>
      </c>
      <c r="F278">
        <v>-42.496682835577403</v>
      </c>
      <c r="G278">
        <v>4.8</v>
      </c>
      <c r="H278">
        <v>26.5372284816819</v>
      </c>
      <c r="I278">
        <v>110546</v>
      </c>
      <c r="J278">
        <v>1334640</v>
      </c>
      <c r="K278" s="1">
        <f t="shared" si="28"/>
        <v>8.2828328238326435E-2</v>
      </c>
      <c r="L278" s="1">
        <f t="shared" si="29"/>
        <v>0.23619949528538389</v>
      </c>
      <c r="M278" s="1">
        <f t="shared" si="30"/>
        <v>0.55133542237494759</v>
      </c>
      <c r="N278" s="1">
        <f t="shared" si="31"/>
        <v>0.57231041831957852</v>
      </c>
      <c r="O278" s="1">
        <f t="shared" si="32"/>
        <v>0.48784194528875369</v>
      </c>
      <c r="P278" s="1">
        <f t="shared" si="33"/>
        <v>0.15762001672123788</v>
      </c>
      <c r="Q278">
        <f t="shared" si="34"/>
        <v>0.39951195880853613</v>
      </c>
    </row>
    <row r="279" spans="1:17" x14ac:dyDescent="0.3">
      <c r="A279" s="2" t="s">
        <v>58</v>
      </c>
      <c r="B279" s="2" t="s">
        <v>39</v>
      </c>
      <c r="C279">
        <v>470935</v>
      </c>
      <c r="D279">
        <v>96496</v>
      </c>
      <c r="E279">
        <v>110.145550736565</v>
      </c>
      <c r="F279">
        <v>-83.686076610184202</v>
      </c>
      <c r="G279">
        <v>-4.45</v>
      </c>
      <c r="H279">
        <v>45.043230457020996</v>
      </c>
      <c r="I279">
        <v>96496</v>
      </c>
      <c r="J279">
        <v>567431</v>
      </c>
      <c r="K279" s="1">
        <f t="shared" si="28"/>
        <v>0.17005768102200972</v>
      </c>
      <c r="L279" s="1">
        <f t="shared" si="29"/>
        <v>8.32541522595696E-2</v>
      </c>
      <c r="M279" s="1">
        <f t="shared" si="30"/>
        <v>0.48043920333842977</v>
      </c>
      <c r="N279" s="1">
        <f t="shared" si="31"/>
        <v>0.29569431711644445</v>
      </c>
      <c r="O279" s="1">
        <f t="shared" si="32"/>
        <v>1.9250253292806475E-2</v>
      </c>
      <c r="P279" s="1">
        <f t="shared" si="33"/>
        <v>3.9647751851745183E-2</v>
      </c>
      <c r="Q279">
        <f t="shared" si="34"/>
        <v>0.21427741806320086</v>
      </c>
    </row>
    <row r="280" spans="1:17" x14ac:dyDescent="0.3">
      <c r="A280" s="2" t="s">
        <v>58</v>
      </c>
      <c r="B280" s="2" t="s">
        <v>40</v>
      </c>
      <c r="C280">
        <v>3967302</v>
      </c>
      <c r="D280">
        <v>71697</v>
      </c>
      <c r="E280">
        <v>103.51574734234801</v>
      </c>
      <c r="F280">
        <v>9.1336219085115093</v>
      </c>
      <c r="G280">
        <v>2.5</v>
      </c>
      <c r="H280">
        <v>6.7414652722438797</v>
      </c>
      <c r="I280">
        <v>71697</v>
      </c>
      <c r="J280">
        <v>4038999</v>
      </c>
      <c r="K280" s="1">
        <f t="shared" si="28"/>
        <v>1.7751180428616099E-2</v>
      </c>
      <c r="L280" s="1">
        <f t="shared" si="29"/>
        <v>0.79326764231829183</v>
      </c>
      <c r="M280" s="1">
        <f t="shared" si="30"/>
        <v>0.35530359224329766</v>
      </c>
      <c r="N280" s="1">
        <f t="shared" si="31"/>
        <v>0.26230051528058423</v>
      </c>
      <c r="O280" s="1">
        <f t="shared" si="32"/>
        <v>0.37132725430597768</v>
      </c>
      <c r="P280" s="1">
        <f t="shared" si="33"/>
        <v>0.30549653124079218</v>
      </c>
      <c r="Q280">
        <f t="shared" si="34"/>
        <v>0.48661205448302036</v>
      </c>
    </row>
    <row r="281" spans="1:17" x14ac:dyDescent="0.3">
      <c r="A281" s="2" t="s">
        <v>58</v>
      </c>
      <c r="B281" s="2" t="s">
        <v>41</v>
      </c>
      <c r="C281">
        <v>272224</v>
      </c>
      <c r="D281">
        <v>129453</v>
      </c>
      <c r="E281">
        <v>208.12742576746899</v>
      </c>
      <c r="F281">
        <v>-78.178496073782398</v>
      </c>
      <c r="G281">
        <v>8.73</v>
      </c>
      <c r="H281">
        <v>65.5428360226622</v>
      </c>
      <c r="I281">
        <v>129453</v>
      </c>
      <c r="J281">
        <v>401677</v>
      </c>
      <c r="K281" s="1">
        <f t="shared" si="28"/>
        <v>0.32228133550091242</v>
      </c>
      <c r="L281" s="1">
        <f t="shared" si="29"/>
        <v>4.2901554656669581E-2</v>
      </c>
      <c r="M281" s="1">
        <f t="shared" si="30"/>
        <v>0.6467400354228795</v>
      </c>
      <c r="N281" s="1">
        <f t="shared" si="31"/>
        <v>0.78922136818135225</v>
      </c>
      <c r="O281" s="1">
        <f t="shared" si="32"/>
        <v>0.68693009118541026</v>
      </c>
      <c r="P281" s="1">
        <f t="shared" si="33"/>
        <v>5.5422243542152652E-2</v>
      </c>
      <c r="Q281">
        <f t="shared" si="34"/>
        <v>0.40878006009458101</v>
      </c>
    </row>
    <row r="282" spans="1:17" x14ac:dyDescent="0.3">
      <c r="A282" s="2" t="s">
        <v>58</v>
      </c>
      <c r="B282" s="2" t="s">
        <v>42</v>
      </c>
      <c r="C282">
        <v>3045050</v>
      </c>
      <c r="D282">
        <v>41548</v>
      </c>
      <c r="E282">
        <v>124.765194560483</v>
      </c>
      <c r="F282">
        <v>0.51987035868878595</v>
      </c>
      <c r="G282">
        <v>1.73</v>
      </c>
      <c r="H282">
        <v>5.1753184593375297</v>
      </c>
      <c r="I282">
        <v>41548</v>
      </c>
      <c r="J282">
        <v>3086598</v>
      </c>
      <c r="K282" s="1">
        <f t="shared" si="28"/>
        <v>1.346077461334453E-2</v>
      </c>
      <c r="L282" s="1">
        <f t="shared" si="29"/>
        <v>0.6059842818376453</v>
      </c>
      <c r="M282" s="1">
        <f t="shared" si="30"/>
        <v>0.20317191197767653</v>
      </c>
      <c r="N282" s="1">
        <f t="shared" si="31"/>
        <v>0.36933232110199615</v>
      </c>
      <c r="O282" s="1">
        <f t="shared" si="32"/>
        <v>0.33232016210739612</v>
      </c>
      <c r="P282" s="1">
        <f t="shared" si="33"/>
        <v>0.28082552527949145</v>
      </c>
      <c r="Q282">
        <f t="shared" si="34"/>
        <v>0.398068509596683</v>
      </c>
    </row>
    <row r="283" spans="1:17" x14ac:dyDescent="0.3">
      <c r="A283" s="2" t="s">
        <v>58</v>
      </c>
      <c r="B283" s="2" t="s">
        <v>43</v>
      </c>
      <c r="C283">
        <v>3502071</v>
      </c>
      <c r="D283">
        <v>130482</v>
      </c>
      <c r="E283">
        <v>110.473267699053</v>
      </c>
      <c r="F283">
        <v>4.7484393013290402</v>
      </c>
      <c r="G283">
        <v>7.08</v>
      </c>
      <c r="H283">
        <v>12.9703809568541</v>
      </c>
      <c r="I283">
        <v>130482</v>
      </c>
      <c r="J283">
        <v>3632553</v>
      </c>
      <c r="K283" s="1">
        <f t="shared" si="28"/>
        <v>3.5920191666852487E-2</v>
      </c>
      <c r="L283" s="1">
        <f t="shared" si="29"/>
        <v>0.69879235239778026</v>
      </c>
      <c r="M283" s="1">
        <f t="shared" si="30"/>
        <v>0.65193236349324091</v>
      </c>
      <c r="N283" s="1">
        <f t="shared" si="31"/>
        <v>0.29734500185818508</v>
      </c>
      <c r="O283" s="1">
        <f t="shared" si="32"/>
        <v>0.60334346504559266</v>
      </c>
      <c r="P283" s="1">
        <f t="shared" si="33"/>
        <v>0.29293674638776634</v>
      </c>
      <c r="Q283">
        <f t="shared" si="34"/>
        <v>0.55665743572750626</v>
      </c>
    </row>
    <row r="284" spans="1:17" x14ac:dyDescent="0.3">
      <c r="A284" s="2" t="s">
        <v>58</v>
      </c>
      <c r="B284" s="2" t="s">
        <v>44</v>
      </c>
      <c r="C284">
        <v>4157509</v>
      </c>
      <c r="D284">
        <v>167475</v>
      </c>
      <c r="E284">
        <v>149.364714412816</v>
      </c>
      <c r="F284">
        <v>68.6207121571356</v>
      </c>
      <c r="G284">
        <v>5.25</v>
      </c>
      <c r="H284">
        <v>13.8770093853659</v>
      </c>
      <c r="I284">
        <v>167475</v>
      </c>
      <c r="J284">
        <v>4324984</v>
      </c>
      <c r="K284" s="1">
        <f t="shared" si="28"/>
        <v>3.8722686604158535E-2</v>
      </c>
      <c r="L284" s="1">
        <f t="shared" si="29"/>
        <v>0.83189331745582729</v>
      </c>
      <c r="M284" s="1">
        <f t="shared" si="30"/>
        <v>0.8385988283201381</v>
      </c>
      <c r="N284" s="1">
        <f t="shared" si="31"/>
        <v>0.49323818110421985</v>
      </c>
      <c r="O284" s="1">
        <f t="shared" si="32"/>
        <v>0.51063829787234039</v>
      </c>
      <c r="P284" s="1">
        <f t="shared" si="33"/>
        <v>0.47587599362201755</v>
      </c>
      <c r="Q284">
        <f t="shared" si="34"/>
        <v>0.69811143355985383</v>
      </c>
    </row>
    <row r="285" spans="1:17" x14ac:dyDescent="0.3">
      <c r="A285" s="2" t="s">
        <v>58</v>
      </c>
      <c r="B285" s="2" t="s">
        <v>45</v>
      </c>
      <c r="C285">
        <v>2177470</v>
      </c>
      <c r="D285">
        <v>71535</v>
      </c>
      <c r="E285">
        <v>143.841387635865</v>
      </c>
      <c r="F285">
        <v>-15.5591325343136</v>
      </c>
      <c r="G285">
        <v>10.64</v>
      </c>
      <c r="H285">
        <v>11.614663035139399</v>
      </c>
      <c r="I285">
        <v>71535</v>
      </c>
      <c r="J285">
        <v>2249005</v>
      </c>
      <c r="K285" s="1">
        <f t="shared" si="28"/>
        <v>3.1807399272122561E-2</v>
      </c>
      <c r="L285" s="1">
        <f t="shared" si="29"/>
        <v>0.42980326202332197</v>
      </c>
      <c r="M285" s="1">
        <f t="shared" si="30"/>
        <v>0.35448614117682675</v>
      </c>
      <c r="N285" s="1">
        <f t="shared" si="31"/>
        <v>0.46541761556149369</v>
      </c>
      <c r="O285" s="1">
        <f t="shared" si="32"/>
        <v>0.78368794326241131</v>
      </c>
      <c r="P285" s="1">
        <f t="shared" si="33"/>
        <v>0.2347729808183967</v>
      </c>
      <c r="Q285">
        <f t="shared" si="34"/>
        <v>0.43398229252274895</v>
      </c>
    </row>
    <row r="286" spans="1:17" x14ac:dyDescent="0.3">
      <c r="A286" s="2" t="s">
        <v>58</v>
      </c>
      <c r="B286" s="2" t="s">
        <v>46</v>
      </c>
      <c r="C286">
        <v>884621</v>
      </c>
      <c r="D286">
        <v>70207</v>
      </c>
      <c r="E286">
        <v>191.55282417356801</v>
      </c>
      <c r="F286">
        <v>-52.258934592043097</v>
      </c>
      <c r="G286">
        <v>-3.3</v>
      </c>
      <c r="H286">
        <v>24.096120894178899</v>
      </c>
      <c r="I286">
        <v>70207</v>
      </c>
      <c r="J286">
        <v>954828</v>
      </c>
      <c r="K286" s="1">
        <f t="shared" si="28"/>
        <v>7.3528426062076102E-2</v>
      </c>
      <c r="L286" s="1">
        <f t="shared" si="29"/>
        <v>0.167262106987558</v>
      </c>
      <c r="M286" s="1">
        <f t="shared" si="30"/>
        <v>0.34778506082946054</v>
      </c>
      <c r="N286" s="1">
        <f t="shared" si="31"/>
        <v>0.70573639461217275</v>
      </c>
      <c r="O286" s="1">
        <f t="shared" si="32"/>
        <v>7.750759878419454E-2</v>
      </c>
      <c r="P286" s="1">
        <f t="shared" si="33"/>
        <v>0.12965954329843049</v>
      </c>
      <c r="Q286">
        <f t="shared" si="34"/>
        <v>0.30735199578370748</v>
      </c>
    </row>
    <row r="287" spans="1:17" x14ac:dyDescent="0.3">
      <c r="A287" s="2" t="s">
        <v>58</v>
      </c>
      <c r="B287" s="2" t="s">
        <v>47</v>
      </c>
      <c r="C287">
        <v>855355</v>
      </c>
      <c r="D287">
        <v>25496</v>
      </c>
      <c r="E287">
        <v>76.062807444164704</v>
      </c>
      <c r="F287">
        <v>-82.511474126117506</v>
      </c>
      <c r="G287">
        <v>-4.2</v>
      </c>
      <c r="H287">
        <v>10.6528617344535</v>
      </c>
      <c r="I287">
        <v>25496</v>
      </c>
      <c r="J287">
        <v>880851</v>
      </c>
      <c r="K287" s="1">
        <f t="shared" si="28"/>
        <v>2.8944736396961573E-2</v>
      </c>
      <c r="L287" s="1">
        <f t="shared" si="29"/>
        <v>0.1613190081080472</v>
      </c>
      <c r="M287" s="1">
        <f t="shared" si="30"/>
        <v>0.12217361247773455</v>
      </c>
      <c r="N287" s="1">
        <f t="shared" si="31"/>
        <v>0.12402220139100817</v>
      </c>
      <c r="O287" s="1">
        <f t="shared" si="32"/>
        <v>3.1914893617021267E-2</v>
      </c>
      <c r="P287" s="1">
        <f t="shared" si="33"/>
        <v>4.3011979937376994E-2</v>
      </c>
      <c r="Q287">
        <f t="shared" si="34"/>
        <v>0.11930218359089162</v>
      </c>
    </row>
    <row r="288" spans="1:17" x14ac:dyDescent="0.3">
      <c r="A288" s="2" t="s">
        <v>58</v>
      </c>
      <c r="B288" s="2" t="s">
        <v>48</v>
      </c>
      <c r="C288">
        <v>4735554</v>
      </c>
      <c r="D288">
        <v>196021</v>
      </c>
      <c r="E288">
        <v>231.771797042526</v>
      </c>
      <c r="F288">
        <v>198.34903095294999</v>
      </c>
      <c r="G288">
        <v>4.96</v>
      </c>
      <c r="H288">
        <v>14.205351872713299</v>
      </c>
      <c r="I288">
        <v>196021</v>
      </c>
      <c r="J288">
        <v>4931575</v>
      </c>
      <c r="K288" s="1">
        <f t="shared" si="28"/>
        <v>3.9748153480378988E-2</v>
      </c>
      <c r="L288" s="1">
        <f t="shared" si="29"/>
        <v>0.94927794780527119</v>
      </c>
      <c r="M288" s="1">
        <f t="shared" si="30"/>
        <v>0.98264177982308742</v>
      </c>
      <c r="N288" s="1">
        <f t="shared" si="31"/>
        <v>0.90831621940748153</v>
      </c>
      <c r="O288" s="1">
        <f t="shared" si="32"/>
        <v>0.49594731509625117</v>
      </c>
      <c r="P288" s="1">
        <f t="shared" si="33"/>
        <v>0.84743629552403077</v>
      </c>
      <c r="Q288">
        <f t="shared" si="34"/>
        <v>0.89390933163114139</v>
      </c>
    </row>
    <row r="289" spans="1:17" x14ac:dyDescent="0.3">
      <c r="A289" s="2" t="s">
        <v>58</v>
      </c>
      <c r="B289" s="2" t="s">
        <v>49</v>
      </c>
      <c r="C289">
        <v>3806486</v>
      </c>
      <c r="D289">
        <v>117616</v>
      </c>
      <c r="E289">
        <v>169.210688203313</v>
      </c>
      <c r="F289">
        <v>73.319122093402598</v>
      </c>
      <c r="G289">
        <v>-3.98</v>
      </c>
      <c r="H289">
        <v>10.999988309426101</v>
      </c>
      <c r="I289">
        <v>117616</v>
      </c>
      <c r="J289">
        <v>3924102</v>
      </c>
      <c r="K289" s="1">
        <f t="shared" si="28"/>
        <v>2.9972717324880955E-2</v>
      </c>
      <c r="L289" s="1">
        <f t="shared" si="29"/>
        <v>0.76061045003347638</v>
      </c>
      <c r="M289" s="1">
        <f t="shared" si="30"/>
        <v>0.58701060163389296</v>
      </c>
      <c r="N289" s="1">
        <f t="shared" si="31"/>
        <v>0.59320080089738247</v>
      </c>
      <c r="O289" s="1">
        <f t="shared" si="32"/>
        <v>4.3059777102330291E-2</v>
      </c>
      <c r="P289" s="1">
        <f t="shared" si="33"/>
        <v>0.48933290596454543</v>
      </c>
      <c r="Q289">
        <f t="shared" si="34"/>
        <v>0.58484573640635407</v>
      </c>
    </row>
    <row r="290" spans="1:17" x14ac:dyDescent="0.3">
      <c r="A290" s="2" t="s">
        <v>59</v>
      </c>
      <c r="B290" s="2" t="s">
        <v>14</v>
      </c>
      <c r="C290">
        <v>1322976</v>
      </c>
      <c r="D290">
        <v>21076</v>
      </c>
      <c r="E290">
        <v>242.47573754586799</v>
      </c>
      <c r="F290">
        <v>-10.1956461835216</v>
      </c>
      <c r="G290">
        <v>-4.16</v>
      </c>
      <c r="H290">
        <v>5.9905633562617204</v>
      </c>
      <c r="I290">
        <v>21076</v>
      </c>
      <c r="J290">
        <v>1344052</v>
      </c>
      <c r="K290" s="1">
        <f t="shared" si="28"/>
        <v>1.5680940915976466E-2</v>
      </c>
      <c r="L290" s="1">
        <f t="shared" si="29"/>
        <v>0.25627963959631767</v>
      </c>
      <c r="M290" s="1">
        <f t="shared" si="30"/>
        <v>9.9870317948096907E-2</v>
      </c>
      <c r="N290" s="1">
        <f t="shared" si="31"/>
        <v>0.96223113162693441</v>
      </c>
      <c r="O290" s="1">
        <f t="shared" si="32"/>
        <v>3.3941236068895639E-2</v>
      </c>
      <c r="P290" s="1">
        <f t="shared" si="33"/>
        <v>0.25013476632711246</v>
      </c>
      <c r="Q290">
        <f t="shared" si="34"/>
        <v>0.33551927991072311</v>
      </c>
    </row>
    <row r="291" spans="1:17" x14ac:dyDescent="0.3">
      <c r="A291" s="2" t="s">
        <v>59</v>
      </c>
      <c r="B291" s="2" t="s">
        <v>15</v>
      </c>
      <c r="C291">
        <v>1224645</v>
      </c>
      <c r="D291">
        <v>101142</v>
      </c>
      <c r="E291">
        <v>198.297313218488</v>
      </c>
      <c r="F291">
        <v>-27.555800496004402</v>
      </c>
      <c r="G291">
        <v>1.65</v>
      </c>
      <c r="H291">
        <v>24.832112191591801</v>
      </c>
      <c r="I291">
        <v>101142</v>
      </c>
      <c r="J291">
        <v>1325787</v>
      </c>
      <c r="K291" s="1">
        <f t="shared" si="28"/>
        <v>7.6288272550568081E-2</v>
      </c>
      <c r="L291" s="1">
        <f t="shared" si="29"/>
        <v>0.23631138783928979</v>
      </c>
      <c r="M291" s="1">
        <f t="shared" si="30"/>
        <v>0.50388289256573671</v>
      </c>
      <c r="N291" s="1">
        <f t="shared" si="31"/>
        <v>0.73970785911240899</v>
      </c>
      <c r="O291" s="1">
        <f t="shared" si="32"/>
        <v>0.32826747720364741</v>
      </c>
      <c r="P291" s="1">
        <f t="shared" si="33"/>
        <v>0.20041282251957612</v>
      </c>
      <c r="Q291">
        <f t="shared" si="34"/>
        <v>0.40948931067998978</v>
      </c>
    </row>
    <row r="292" spans="1:17" x14ac:dyDescent="0.3">
      <c r="A292" s="2" t="s">
        <v>59</v>
      </c>
      <c r="B292" s="2" t="s">
        <v>16</v>
      </c>
      <c r="C292">
        <v>4171353</v>
      </c>
      <c r="D292">
        <v>46423</v>
      </c>
      <c r="E292">
        <v>101.546407395746</v>
      </c>
      <c r="F292">
        <v>18.021493524386798</v>
      </c>
      <c r="G292">
        <v>-1.18</v>
      </c>
      <c r="H292">
        <v>4.2618793241749797</v>
      </c>
      <c r="I292">
        <v>46423</v>
      </c>
      <c r="J292">
        <v>4217776</v>
      </c>
      <c r="K292" s="1">
        <f t="shared" si="28"/>
        <v>1.1006511488519067E-2</v>
      </c>
      <c r="L292" s="1">
        <f t="shared" si="29"/>
        <v>0.83470464325668658</v>
      </c>
      <c r="M292" s="1">
        <f t="shared" si="30"/>
        <v>0.2277711338853651</v>
      </c>
      <c r="N292" s="1">
        <f t="shared" si="31"/>
        <v>0.25238110379673312</v>
      </c>
      <c r="O292" s="1">
        <f t="shared" si="32"/>
        <v>0.18490374873353596</v>
      </c>
      <c r="P292" s="1">
        <f t="shared" si="33"/>
        <v>0.33095265594444095</v>
      </c>
      <c r="Q292">
        <f t="shared" si="34"/>
        <v>0.45115126983832587</v>
      </c>
    </row>
    <row r="293" spans="1:17" x14ac:dyDescent="0.3">
      <c r="A293" s="2" t="s">
        <v>59</v>
      </c>
      <c r="B293" s="2" t="s">
        <v>17</v>
      </c>
      <c r="C293">
        <v>3596943</v>
      </c>
      <c r="D293">
        <v>72021</v>
      </c>
      <c r="E293">
        <v>80.976537245936399</v>
      </c>
      <c r="F293">
        <v>-18.131716726370801</v>
      </c>
      <c r="G293">
        <v>3.23</v>
      </c>
      <c r="H293">
        <v>7.4152380408166998</v>
      </c>
      <c r="I293">
        <v>72021</v>
      </c>
      <c r="J293">
        <v>3668964</v>
      </c>
      <c r="K293" s="1">
        <f t="shared" si="28"/>
        <v>1.9629791952169604E-2</v>
      </c>
      <c r="L293" s="1">
        <f t="shared" si="29"/>
        <v>0.7180581788481647</v>
      </c>
      <c r="M293" s="1">
        <f t="shared" si="30"/>
        <v>0.35693849437623942</v>
      </c>
      <c r="N293" s="1">
        <f t="shared" si="31"/>
        <v>0.14877227458600736</v>
      </c>
      <c r="O293" s="1">
        <f t="shared" si="32"/>
        <v>0.40830800405268491</v>
      </c>
      <c r="P293" s="1">
        <f t="shared" si="33"/>
        <v>0.22740473487223897</v>
      </c>
      <c r="Q293">
        <f t="shared" si="34"/>
        <v>0.43388071500061137</v>
      </c>
    </row>
    <row r="294" spans="1:17" x14ac:dyDescent="0.3">
      <c r="A294" s="2" t="s">
        <v>59</v>
      </c>
      <c r="B294" s="2" t="s">
        <v>18</v>
      </c>
      <c r="C294">
        <v>615649</v>
      </c>
      <c r="D294">
        <v>24742</v>
      </c>
      <c r="E294">
        <v>147.56609633801801</v>
      </c>
      <c r="F294">
        <v>-73.959768531275799</v>
      </c>
      <c r="G294">
        <v>8.07</v>
      </c>
      <c r="H294">
        <v>13.8490967889093</v>
      </c>
      <c r="I294">
        <v>24742</v>
      </c>
      <c r="J294">
        <v>640391</v>
      </c>
      <c r="K294" s="1">
        <f t="shared" si="28"/>
        <v>3.8635770958679934E-2</v>
      </c>
      <c r="L294" s="1">
        <f t="shared" si="29"/>
        <v>0.11264148265147582</v>
      </c>
      <c r="M294" s="1">
        <f t="shared" si="30"/>
        <v>0.11836893282267871</v>
      </c>
      <c r="N294" s="1">
        <f t="shared" si="31"/>
        <v>0.48417868235338335</v>
      </c>
      <c r="O294" s="1">
        <f t="shared" si="32"/>
        <v>0.65349544072948329</v>
      </c>
      <c r="P294" s="1">
        <f t="shared" si="33"/>
        <v>6.750527748482843E-2</v>
      </c>
      <c r="Q294">
        <f t="shared" si="34"/>
        <v>0.23795256042579405</v>
      </c>
    </row>
    <row r="295" spans="1:17" x14ac:dyDescent="0.3">
      <c r="A295" s="2" t="s">
        <v>59</v>
      </c>
      <c r="B295" s="2" t="s">
        <v>19</v>
      </c>
      <c r="C295">
        <v>3041395</v>
      </c>
      <c r="D295">
        <v>123882</v>
      </c>
      <c r="E295">
        <v>238.93643431522699</v>
      </c>
      <c r="F295">
        <v>108.40451915128099</v>
      </c>
      <c r="G295">
        <v>9.9700000000000006</v>
      </c>
      <c r="H295">
        <v>14.0101438453706</v>
      </c>
      <c r="I295">
        <v>123882</v>
      </c>
      <c r="J295">
        <v>3165277</v>
      </c>
      <c r="K295" s="1">
        <f t="shared" si="28"/>
        <v>3.9137806896521223E-2</v>
      </c>
      <c r="L295" s="1">
        <f t="shared" si="29"/>
        <v>0.60524205446100987</v>
      </c>
      <c r="M295" s="1">
        <f t="shared" si="30"/>
        <v>0.61862880152590871</v>
      </c>
      <c r="N295" s="1">
        <f t="shared" si="31"/>
        <v>0.94440393771283737</v>
      </c>
      <c r="O295" s="1">
        <f t="shared" si="32"/>
        <v>0.74974670719351566</v>
      </c>
      <c r="P295" s="1">
        <f t="shared" si="33"/>
        <v>0.58982245862494653</v>
      </c>
      <c r="Q295">
        <f t="shared" si="34"/>
        <v>0.68932962356724448</v>
      </c>
    </row>
    <row r="296" spans="1:17" x14ac:dyDescent="0.3">
      <c r="A296" s="2" t="s">
        <v>59</v>
      </c>
      <c r="B296" s="2" t="s">
        <v>20</v>
      </c>
      <c r="C296">
        <v>3074256</v>
      </c>
      <c r="D296">
        <v>116128</v>
      </c>
      <c r="E296">
        <v>242.35327158110101</v>
      </c>
      <c r="F296">
        <v>113.061449435106</v>
      </c>
      <c r="G296">
        <v>5.49</v>
      </c>
      <c r="H296">
        <v>13.1263761851582</v>
      </c>
      <c r="I296">
        <v>116128</v>
      </c>
      <c r="J296">
        <v>3190384</v>
      </c>
      <c r="K296" s="1">
        <f t="shared" si="28"/>
        <v>3.6399380137312622E-2</v>
      </c>
      <c r="L296" s="1">
        <f t="shared" si="29"/>
        <v>0.61191519641001579</v>
      </c>
      <c r="M296" s="1">
        <f t="shared" si="30"/>
        <v>0.57950216220853079</v>
      </c>
      <c r="N296" s="1">
        <f t="shared" si="31"/>
        <v>0.96161428012834649</v>
      </c>
      <c r="O296" s="1">
        <f t="shared" si="32"/>
        <v>0.52279635258358659</v>
      </c>
      <c r="P296" s="1">
        <f t="shared" si="33"/>
        <v>0.60316056736061985</v>
      </c>
      <c r="Q296">
        <f t="shared" si="34"/>
        <v>0.66396440731572814</v>
      </c>
    </row>
    <row r="297" spans="1:17" x14ac:dyDescent="0.3">
      <c r="A297" s="2" t="s">
        <v>59</v>
      </c>
      <c r="B297" s="2" t="s">
        <v>21</v>
      </c>
      <c r="C297">
        <v>229379</v>
      </c>
      <c r="D297">
        <v>143417</v>
      </c>
      <c r="E297">
        <v>56.867562956683997</v>
      </c>
      <c r="F297">
        <v>-94.158170294846997</v>
      </c>
      <c r="G297">
        <v>-1.07</v>
      </c>
      <c r="H297">
        <v>71.436416548471001</v>
      </c>
      <c r="I297">
        <v>143417</v>
      </c>
      <c r="J297">
        <v>372796</v>
      </c>
      <c r="K297" s="1">
        <f t="shared" si="28"/>
        <v>0.3847063809697529</v>
      </c>
      <c r="L297" s="1">
        <f t="shared" si="29"/>
        <v>3.4200943999502881E-2</v>
      </c>
      <c r="M297" s="1">
        <f t="shared" si="30"/>
        <v>0.71720229895497456</v>
      </c>
      <c r="N297" s="1">
        <f t="shared" si="31"/>
        <v>2.7337254267998629E-2</v>
      </c>
      <c r="O297" s="1">
        <f t="shared" si="32"/>
        <v>0.19047619047619044</v>
      </c>
      <c r="P297" s="1">
        <f t="shared" si="33"/>
        <v>9.6541904833617135E-3</v>
      </c>
      <c r="Q297">
        <f t="shared" si="34"/>
        <v>0.21675139408812458</v>
      </c>
    </row>
    <row r="298" spans="1:17" x14ac:dyDescent="0.3">
      <c r="A298" s="2" t="s">
        <v>59</v>
      </c>
      <c r="B298" s="2" t="s">
        <v>22</v>
      </c>
      <c r="C298">
        <v>2375391</v>
      </c>
      <c r="D298">
        <v>118607</v>
      </c>
      <c r="E298">
        <v>135.52536930663101</v>
      </c>
      <c r="F298">
        <v>-6.8613943235050998</v>
      </c>
      <c r="G298">
        <v>4.95</v>
      </c>
      <c r="H298">
        <v>16.647653763274</v>
      </c>
      <c r="I298">
        <v>118607</v>
      </c>
      <c r="J298">
        <v>2493998</v>
      </c>
      <c r="K298" s="1">
        <f t="shared" si="28"/>
        <v>4.7556974785063981E-2</v>
      </c>
      <c r="L298" s="1">
        <f t="shared" si="29"/>
        <v>0.46999543291554019</v>
      </c>
      <c r="M298" s="1">
        <f t="shared" si="30"/>
        <v>0.59201118192323021</v>
      </c>
      <c r="N298" s="1">
        <f t="shared" si="31"/>
        <v>0.4235304808099481</v>
      </c>
      <c r="O298" s="1">
        <f t="shared" si="32"/>
        <v>0.49544072948328266</v>
      </c>
      <c r="P298" s="1">
        <f t="shared" si="33"/>
        <v>0.25968453648697254</v>
      </c>
      <c r="Q298">
        <f t="shared" si="34"/>
        <v>0.47271981976026178</v>
      </c>
    </row>
    <row r="299" spans="1:17" x14ac:dyDescent="0.3">
      <c r="A299" s="2" t="s">
        <v>59</v>
      </c>
      <c r="B299" s="2" t="s">
        <v>23</v>
      </c>
      <c r="C299">
        <v>3856185</v>
      </c>
      <c r="D299">
        <v>191504</v>
      </c>
      <c r="E299">
        <v>202.33767959939601</v>
      </c>
      <c r="F299">
        <v>125.682006062276</v>
      </c>
      <c r="G299">
        <v>13.66</v>
      </c>
      <c r="H299">
        <v>16.572537628718401</v>
      </c>
      <c r="I299">
        <v>191504</v>
      </c>
      <c r="J299">
        <v>4047689</v>
      </c>
      <c r="K299" s="1">
        <f t="shared" si="28"/>
        <v>4.7311935279612638E-2</v>
      </c>
      <c r="L299" s="1">
        <f t="shared" si="29"/>
        <v>0.77070291470964691</v>
      </c>
      <c r="M299" s="1">
        <f t="shared" si="30"/>
        <v>0.95984902385241477</v>
      </c>
      <c r="N299" s="1">
        <f t="shared" si="31"/>
        <v>0.7600588689758393</v>
      </c>
      <c r="O299" s="1">
        <f t="shared" si="32"/>
        <v>0.93667679837892603</v>
      </c>
      <c r="P299" s="1">
        <f t="shared" si="33"/>
        <v>0.63930763127149537</v>
      </c>
      <c r="Q299">
        <f t="shared" si="34"/>
        <v>0.81931849287169001</v>
      </c>
    </row>
    <row r="300" spans="1:17" x14ac:dyDescent="0.3">
      <c r="A300" s="2" t="s">
        <v>59</v>
      </c>
      <c r="B300" s="2" t="s">
        <v>24</v>
      </c>
      <c r="C300">
        <v>699601</v>
      </c>
      <c r="D300">
        <v>109339</v>
      </c>
      <c r="E300">
        <v>174.67302890201901</v>
      </c>
      <c r="F300">
        <v>-61.063653899145699</v>
      </c>
      <c r="G300">
        <v>8.86</v>
      </c>
      <c r="H300">
        <v>38.467241944945997</v>
      </c>
      <c r="I300">
        <v>109339</v>
      </c>
      <c r="J300">
        <v>808940</v>
      </c>
      <c r="K300" s="1">
        <f t="shared" si="28"/>
        <v>0.13516330012114619</v>
      </c>
      <c r="L300" s="1">
        <f t="shared" si="29"/>
        <v>0.12968976520230924</v>
      </c>
      <c r="M300" s="1">
        <f t="shared" si="30"/>
        <v>0.54524490733031583</v>
      </c>
      <c r="N300" s="1">
        <f t="shared" si="31"/>
        <v>0.62071418432767445</v>
      </c>
      <c r="O300" s="1">
        <f t="shared" si="32"/>
        <v>0.69351570415400188</v>
      </c>
      <c r="P300" s="1">
        <f t="shared" si="33"/>
        <v>0.10444157859899836</v>
      </c>
      <c r="Q300">
        <f t="shared" si="34"/>
        <v>0.38564120979422212</v>
      </c>
    </row>
    <row r="301" spans="1:17" x14ac:dyDescent="0.3">
      <c r="A301" s="2" t="s">
        <v>59</v>
      </c>
      <c r="B301" s="2" t="s">
        <v>25</v>
      </c>
      <c r="C301">
        <v>411556</v>
      </c>
      <c r="D301">
        <v>182960</v>
      </c>
      <c r="E301">
        <v>163.32613419992001</v>
      </c>
      <c r="F301">
        <v>-73.2433177183797</v>
      </c>
      <c r="G301">
        <v>10.119999999999999</v>
      </c>
      <c r="H301">
        <v>64.005821255278093</v>
      </c>
      <c r="I301">
        <v>182960</v>
      </c>
      <c r="J301">
        <v>594516</v>
      </c>
      <c r="K301" s="1">
        <f t="shared" si="28"/>
        <v>0.30774613298885145</v>
      </c>
      <c r="L301" s="1">
        <f t="shared" si="29"/>
        <v>7.1195952698082821E-2</v>
      </c>
      <c r="M301" s="1">
        <f t="shared" si="30"/>
        <v>0.91673604908743189</v>
      </c>
      <c r="N301" s="1">
        <f t="shared" si="31"/>
        <v>0.56356076203090089</v>
      </c>
      <c r="O301" s="1">
        <f t="shared" si="32"/>
        <v>0.75734549138804441</v>
      </c>
      <c r="P301" s="1">
        <f t="shared" si="33"/>
        <v>6.9557294213393378E-2</v>
      </c>
      <c r="Q301">
        <f t="shared" si="34"/>
        <v>0.44950502668251091</v>
      </c>
    </row>
    <row r="302" spans="1:17" x14ac:dyDescent="0.3">
      <c r="A302" s="2" t="s">
        <v>59</v>
      </c>
      <c r="B302" s="2" t="s">
        <v>26</v>
      </c>
      <c r="C302">
        <v>4985328</v>
      </c>
      <c r="D302">
        <v>179236</v>
      </c>
      <c r="E302">
        <v>90.249631914717298</v>
      </c>
      <c r="F302">
        <v>-7.6374325016100597</v>
      </c>
      <c r="G302">
        <v>-1.94</v>
      </c>
      <c r="H302">
        <v>12.572953377180101</v>
      </c>
      <c r="I302">
        <v>179236</v>
      </c>
      <c r="J302">
        <v>5164564</v>
      </c>
      <c r="K302" s="1">
        <f t="shared" si="28"/>
        <v>3.4704962509904028E-2</v>
      </c>
      <c r="L302" s="1">
        <f t="shared" si="29"/>
        <v>1</v>
      </c>
      <c r="M302" s="1">
        <f t="shared" si="30"/>
        <v>0.89794476654707656</v>
      </c>
      <c r="N302" s="1">
        <f t="shared" si="31"/>
        <v>0.1954801281016264</v>
      </c>
      <c r="O302" s="1">
        <f t="shared" si="32"/>
        <v>0.146403242147923</v>
      </c>
      <c r="P302" s="1">
        <f t="shared" si="33"/>
        <v>0.25746185309432018</v>
      </c>
      <c r="Q302">
        <f t="shared" si="34"/>
        <v>0.6539687267813189</v>
      </c>
    </row>
    <row r="303" spans="1:17" x14ac:dyDescent="0.3">
      <c r="A303" s="2" t="s">
        <v>59</v>
      </c>
      <c r="B303" s="2" t="s">
        <v>27</v>
      </c>
      <c r="C303">
        <v>1233522</v>
      </c>
      <c r="D303">
        <v>142290</v>
      </c>
      <c r="E303">
        <v>78.135675513805595</v>
      </c>
      <c r="F303">
        <v>-78.697755833347003</v>
      </c>
      <c r="G303">
        <v>0.02</v>
      </c>
      <c r="H303">
        <v>31.5729562951202</v>
      </c>
      <c r="I303">
        <v>142290</v>
      </c>
      <c r="J303">
        <v>1375812</v>
      </c>
      <c r="K303" s="1">
        <f t="shared" si="28"/>
        <v>0.10342256064055264</v>
      </c>
      <c r="L303" s="1">
        <f t="shared" si="29"/>
        <v>0.23811405608071048</v>
      </c>
      <c r="M303" s="1">
        <f t="shared" si="30"/>
        <v>0.71151546344934069</v>
      </c>
      <c r="N303" s="1">
        <f t="shared" si="31"/>
        <v>0.13446307594391718</v>
      </c>
      <c r="O303" s="1">
        <f t="shared" si="32"/>
        <v>0.24569402228976692</v>
      </c>
      <c r="P303" s="1">
        <f t="shared" si="33"/>
        <v>5.393500995414121E-2</v>
      </c>
      <c r="Q303">
        <f t="shared" si="34"/>
        <v>0.31807430390375813</v>
      </c>
    </row>
    <row r="304" spans="1:17" x14ac:dyDescent="0.3">
      <c r="A304" s="2" t="s">
        <v>59</v>
      </c>
      <c r="B304" s="2" t="s">
        <v>28</v>
      </c>
      <c r="C304">
        <v>1870189</v>
      </c>
      <c r="D304">
        <v>79759</v>
      </c>
      <c r="E304">
        <v>221.595652807151</v>
      </c>
      <c r="F304">
        <v>-14.3748864705979</v>
      </c>
      <c r="G304">
        <v>5.58</v>
      </c>
      <c r="H304">
        <v>14.573010997042299</v>
      </c>
      <c r="I304">
        <v>79759</v>
      </c>
      <c r="J304">
        <v>1949948</v>
      </c>
      <c r="K304" s="1">
        <f t="shared" si="28"/>
        <v>4.0903142032505481E-2</v>
      </c>
      <c r="L304" s="1">
        <f t="shared" si="29"/>
        <v>0.3674031606498866</v>
      </c>
      <c r="M304" s="1">
        <f t="shared" si="30"/>
        <v>0.39598439778581773</v>
      </c>
      <c r="N304" s="1">
        <f t="shared" si="31"/>
        <v>0.85705977576306502</v>
      </c>
      <c r="O304" s="1">
        <f t="shared" si="32"/>
        <v>0.52735562310030393</v>
      </c>
      <c r="P304" s="1">
        <f t="shared" si="33"/>
        <v>0.23816482948370657</v>
      </c>
      <c r="Q304">
        <f t="shared" si="34"/>
        <v>0.47555120608492885</v>
      </c>
    </row>
    <row r="305" spans="1:17" x14ac:dyDescent="0.3">
      <c r="A305" s="2" t="s">
        <v>59</v>
      </c>
      <c r="B305" s="2" t="s">
        <v>29</v>
      </c>
      <c r="C305">
        <v>3258922</v>
      </c>
      <c r="D305">
        <v>58884</v>
      </c>
      <c r="E305">
        <v>217.22186288167501</v>
      </c>
      <c r="F305">
        <v>42.8142081014581</v>
      </c>
      <c r="G305">
        <v>-4.72</v>
      </c>
      <c r="H305">
        <v>6.7402727404364198</v>
      </c>
      <c r="I305">
        <v>58884</v>
      </c>
      <c r="J305">
        <v>3317806</v>
      </c>
      <c r="K305" s="1">
        <f t="shared" si="28"/>
        <v>1.77478731426732E-2</v>
      </c>
      <c r="L305" s="1">
        <f t="shared" si="29"/>
        <v>0.64941565078313623</v>
      </c>
      <c r="M305" s="1">
        <f t="shared" si="30"/>
        <v>0.29064926807853586</v>
      </c>
      <c r="N305" s="1">
        <f t="shared" si="31"/>
        <v>0.83502933754970421</v>
      </c>
      <c r="O305" s="1">
        <f t="shared" si="32"/>
        <v>5.5724417426545238E-3</v>
      </c>
      <c r="P305" s="1">
        <f t="shared" si="33"/>
        <v>0.40196250636673964</v>
      </c>
      <c r="Q305">
        <f t="shared" si="34"/>
        <v>0.50771715711461185</v>
      </c>
    </row>
    <row r="306" spans="1:17" x14ac:dyDescent="0.3">
      <c r="A306" s="2" t="s">
        <v>59</v>
      </c>
      <c r="B306" s="2" t="s">
        <v>30</v>
      </c>
      <c r="C306">
        <v>3805561</v>
      </c>
      <c r="D306">
        <v>31305</v>
      </c>
      <c r="E306">
        <v>124.137772859411</v>
      </c>
      <c r="F306">
        <v>-5.6161963109136801</v>
      </c>
      <c r="G306">
        <v>5.31</v>
      </c>
      <c r="H306">
        <v>3.1856264696506802</v>
      </c>
      <c r="I306">
        <v>31305</v>
      </c>
      <c r="J306">
        <v>3836866</v>
      </c>
      <c r="K306" s="1">
        <f t="shared" si="28"/>
        <v>8.1590026860463728E-3</v>
      </c>
      <c r="L306" s="1">
        <f t="shared" si="29"/>
        <v>0.76042260863172872</v>
      </c>
      <c r="M306" s="1">
        <f t="shared" si="30"/>
        <v>0.1514857930032244</v>
      </c>
      <c r="N306" s="1">
        <f t="shared" si="31"/>
        <v>0.36617204700225553</v>
      </c>
      <c r="O306" s="1">
        <f t="shared" si="32"/>
        <v>0.51367781155015191</v>
      </c>
      <c r="P306" s="1">
        <f t="shared" si="33"/>
        <v>0.26325096017750432</v>
      </c>
      <c r="Q306">
        <f t="shared" si="34"/>
        <v>0.45494664784512784</v>
      </c>
    </row>
    <row r="307" spans="1:17" x14ac:dyDescent="0.3">
      <c r="A307" s="2" t="s">
        <v>59</v>
      </c>
      <c r="B307" s="2" t="s">
        <v>31</v>
      </c>
      <c r="C307">
        <v>4595729</v>
      </c>
      <c r="D307">
        <v>168450</v>
      </c>
      <c r="E307">
        <v>241.21679726979099</v>
      </c>
      <c r="F307">
        <v>127.72594415179</v>
      </c>
      <c r="G307">
        <v>9.74</v>
      </c>
      <c r="H307">
        <v>12.786721545701701</v>
      </c>
      <c r="I307">
        <v>168450</v>
      </c>
      <c r="J307">
        <v>4764179</v>
      </c>
      <c r="K307" s="1">
        <f t="shared" si="28"/>
        <v>3.5357613557341148E-2</v>
      </c>
      <c r="L307" s="1">
        <f t="shared" si="29"/>
        <v>0.92088343537352113</v>
      </c>
      <c r="M307" s="1">
        <f t="shared" si="30"/>
        <v>0.8435186727016758</v>
      </c>
      <c r="N307" s="1">
        <f t="shared" si="31"/>
        <v>0.95588994779346359</v>
      </c>
      <c r="O307" s="1">
        <f t="shared" si="32"/>
        <v>0.73809523809523803</v>
      </c>
      <c r="P307" s="1">
        <f t="shared" si="33"/>
        <v>0.64516175981226653</v>
      </c>
      <c r="Q307">
        <f t="shared" si="34"/>
        <v>0.86269255990559435</v>
      </c>
    </row>
    <row r="308" spans="1:17" x14ac:dyDescent="0.3">
      <c r="A308" s="2" t="s">
        <v>59</v>
      </c>
      <c r="B308" s="2" t="s">
        <v>32</v>
      </c>
      <c r="C308">
        <v>1844193</v>
      </c>
      <c r="D308">
        <v>41175</v>
      </c>
      <c r="E308">
        <v>112.179691179652</v>
      </c>
      <c r="F308">
        <v>-58.089073104678199</v>
      </c>
      <c r="G308">
        <v>8.77</v>
      </c>
      <c r="H308">
        <v>8.1985451689064508</v>
      </c>
      <c r="I308">
        <v>41175</v>
      </c>
      <c r="J308">
        <v>1885368</v>
      </c>
      <c r="K308" s="1">
        <f t="shared" si="28"/>
        <v>2.1839237750932446E-2</v>
      </c>
      <c r="L308" s="1">
        <f t="shared" si="29"/>
        <v>0.36212410650952703</v>
      </c>
      <c r="M308" s="1">
        <f t="shared" si="30"/>
        <v>0.20128975612709851</v>
      </c>
      <c r="N308" s="1">
        <f t="shared" si="31"/>
        <v>0.3059401236394565</v>
      </c>
      <c r="O308" s="1">
        <f t="shared" si="32"/>
        <v>0.68895643363728465</v>
      </c>
      <c r="P308" s="1">
        <f t="shared" si="33"/>
        <v>0.1129611998219008</v>
      </c>
      <c r="Q308">
        <f t="shared" si="34"/>
        <v>0.31844566438391897</v>
      </c>
    </row>
    <row r="309" spans="1:17" x14ac:dyDescent="0.3">
      <c r="A309" s="2" t="s">
        <v>59</v>
      </c>
      <c r="B309" s="2" t="s">
        <v>33</v>
      </c>
      <c r="C309">
        <v>4339825</v>
      </c>
      <c r="D309">
        <v>54324</v>
      </c>
      <c r="E309">
        <v>98.540126882360994</v>
      </c>
      <c r="F309">
        <v>-14.1965421008306</v>
      </c>
      <c r="G309">
        <v>9.65</v>
      </c>
      <c r="H309">
        <v>4.7682736534755099</v>
      </c>
      <c r="I309">
        <v>54324</v>
      </c>
      <c r="J309">
        <v>4394149</v>
      </c>
      <c r="K309" s="1">
        <f t="shared" si="28"/>
        <v>1.2362803355097882E-2</v>
      </c>
      <c r="L309" s="1">
        <f t="shared" si="29"/>
        <v>0.86891655313261584</v>
      </c>
      <c r="M309" s="1">
        <f t="shared" si="30"/>
        <v>0.26763953435565174</v>
      </c>
      <c r="N309" s="1">
        <f t="shared" si="31"/>
        <v>0.23723870367449787</v>
      </c>
      <c r="O309" s="1">
        <f t="shared" si="32"/>
        <v>0.73353596757852069</v>
      </c>
      <c r="P309" s="1">
        <f t="shared" si="33"/>
        <v>0.2386756330498698</v>
      </c>
      <c r="Q309">
        <f t="shared" si="34"/>
        <v>0.51569957798306709</v>
      </c>
    </row>
    <row r="310" spans="1:17" x14ac:dyDescent="0.3">
      <c r="A310" s="2" t="s">
        <v>59</v>
      </c>
      <c r="B310" s="2" t="s">
        <v>34</v>
      </c>
      <c r="C310">
        <v>4360338</v>
      </c>
      <c r="D310">
        <v>87863</v>
      </c>
      <c r="E310">
        <v>103.12034011052999</v>
      </c>
      <c r="F310">
        <v>-9.1038195419191901</v>
      </c>
      <c r="G310">
        <v>3.7</v>
      </c>
      <c r="H310">
        <v>7.4589911689612602</v>
      </c>
      <c r="I310">
        <v>87863</v>
      </c>
      <c r="J310">
        <v>4448201</v>
      </c>
      <c r="K310" s="1">
        <f t="shared" si="28"/>
        <v>1.9752479710336831E-2</v>
      </c>
      <c r="L310" s="1">
        <f t="shared" si="29"/>
        <v>0.8730821646721294</v>
      </c>
      <c r="M310" s="1">
        <f t="shared" si="30"/>
        <v>0.43687713508631171</v>
      </c>
      <c r="N310" s="1">
        <f t="shared" si="31"/>
        <v>0.26030887993958535</v>
      </c>
      <c r="O310" s="1">
        <f t="shared" si="32"/>
        <v>0.43211752786220875</v>
      </c>
      <c r="P310" s="1">
        <f t="shared" si="33"/>
        <v>0.2532619126614219</v>
      </c>
      <c r="Q310">
        <f t="shared" si="34"/>
        <v>0.53539776144710338</v>
      </c>
    </row>
    <row r="311" spans="1:17" x14ac:dyDescent="0.3">
      <c r="A311" s="2" t="s">
        <v>59</v>
      </c>
      <c r="B311" s="2" t="s">
        <v>35</v>
      </c>
      <c r="C311">
        <v>4172286</v>
      </c>
      <c r="D311">
        <v>28526</v>
      </c>
      <c r="E311">
        <v>71.843253161531607</v>
      </c>
      <c r="F311">
        <v>-40.195188004689797</v>
      </c>
      <c r="G311">
        <v>8.02</v>
      </c>
      <c r="H311">
        <v>2.6620069569031202</v>
      </c>
      <c r="I311">
        <v>28526</v>
      </c>
      <c r="J311">
        <v>4200812</v>
      </c>
      <c r="K311" s="1">
        <f t="shared" si="28"/>
        <v>6.7905919141346962E-3</v>
      </c>
      <c r="L311" s="1">
        <f t="shared" si="29"/>
        <v>0.83489410923271967</v>
      </c>
      <c r="M311" s="1">
        <f t="shared" si="30"/>
        <v>0.13746297501728252</v>
      </c>
      <c r="N311" s="1">
        <f t="shared" si="31"/>
        <v>0.1027686360631412</v>
      </c>
      <c r="O311" s="1">
        <f t="shared" si="32"/>
        <v>0.65096251266464022</v>
      </c>
      <c r="P311" s="1">
        <f t="shared" si="33"/>
        <v>0.164211824293619</v>
      </c>
      <c r="Q311">
        <f t="shared" si="34"/>
        <v>0.42864984289422664</v>
      </c>
    </row>
    <row r="312" spans="1:17" x14ac:dyDescent="0.3">
      <c r="A312" s="2" t="s">
        <v>59</v>
      </c>
      <c r="B312" s="2" t="s">
        <v>36</v>
      </c>
      <c r="C312">
        <v>3987717</v>
      </c>
      <c r="D312">
        <v>17701</v>
      </c>
      <c r="E312">
        <v>214.309717487662</v>
      </c>
      <c r="F312">
        <v>70.100896675859104</v>
      </c>
      <c r="G312">
        <v>5.61</v>
      </c>
      <c r="H312">
        <v>1.7445764109635</v>
      </c>
      <c r="I312">
        <v>17701</v>
      </c>
      <c r="J312">
        <v>4005418</v>
      </c>
      <c r="K312" s="1">
        <f t="shared" si="28"/>
        <v>4.419264106767384E-3</v>
      </c>
      <c r="L312" s="1">
        <f t="shared" si="29"/>
        <v>0.79741335282280956</v>
      </c>
      <c r="M312" s="1">
        <f t="shared" si="30"/>
        <v>8.2840087396620188E-2</v>
      </c>
      <c r="N312" s="1">
        <f t="shared" si="31"/>
        <v>0.82036108867075408</v>
      </c>
      <c r="O312" s="1">
        <f t="shared" si="32"/>
        <v>0.52887537993920974</v>
      </c>
      <c r="P312" s="1">
        <f t="shared" si="33"/>
        <v>0.48011545198972538</v>
      </c>
      <c r="Q312">
        <f t="shared" si="34"/>
        <v>0.56477599626418273</v>
      </c>
    </row>
    <row r="313" spans="1:17" x14ac:dyDescent="0.3">
      <c r="A313" s="2" t="s">
        <v>59</v>
      </c>
      <c r="B313" s="2" t="s">
        <v>37</v>
      </c>
      <c r="C313">
        <v>2244685</v>
      </c>
      <c r="D313">
        <v>2660</v>
      </c>
      <c r="E313">
        <v>195.96457152773601</v>
      </c>
      <c r="F313">
        <v>-12.730155060521501</v>
      </c>
      <c r="G313">
        <v>-3.6</v>
      </c>
      <c r="H313">
        <v>0.47177236096793101</v>
      </c>
      <c r="I313">
        <v>2660</v>
      </c>
      <c r="J313">
        <v>2247345</v>
      </c>
      <c r="K313" s="1">
        <f t="shared" si="28"/>
        <v>1.1836188925153904E-3</v>
      </c>
      <c r="L313" s="1">
        <f t="shared" si="29"/>
        <v>0.4434527320973437</v>
      </c>
      <c r="M313" s="1">
        <f t="shared" si="30"/>
        <v>6.9432880707650229E-3</v>
      </c>
      <c r="N313" s="1">
        <f t="shared" si="31"/>
        <v>0.72795802142896104</v>
      </c>
      <c r="O313" s="1">
        <f t="shared" si="32"/>
        <v>6.2310030395136773E-2</v>
      </c>
      <c r="P313" s="1">
        <f t="shared" si="33"/>
        <v>0.24287557348276803</v>
      </c>
      <c r="Q313">
        <f t="shared" si="34"/>
        <v>0.33305444292534425</v>
      </c>
    </row>
    <row r="314" spans="1:17" x14ac:dyDescent="0.3">
      <c r="A314" s="2" t="s">
        <v>59</v>
      </c>
      <c r="B314" s="2" t="s">
        <v>38</v>
      </c>
      <c r="C314">
        <v>3978554</v>
      </c>
      <c r="D314">
        <v>77878</v>
      </c>
      <c r="E314">
        <v>118.725027314644</v>
      </c>
      <c r="F314">
        <v>11.5266601053667</v>
      </c>
      <c r="G314">
        <v>6.82</v>
      </c>
      <c r="H314">
        <v>7.2612402699632099</v>
      </c>
      <c r="I314">
        <v>77878</v>
      </c>
      <c r="J314">
        <v>4056432</v>
      </c>
      <c r="K314" s="1">
        <f t="shared" si="28"/>
        <v>1.9198645509156814E-2</v>
      </c>
      <c r="L314" s="1">
        <f t="shared" si="29"/>
        <v>0.79555260605068634</v>
      </c>
      <c r="M314" s="1">
        <f t="shared" si="30"/>
        <v>0.38649288262512804</v>
      </c>
      <c r="N314" s="1">
        <f t="shared" si="31"/>
        <v>0.33890847048842554</v>
      </c>
      <c r="O314" s="1">
        <f t="shared" si="32"/>
        <v>0.59017223910840932</v>
      </c>
      <c r="P314" s="1">
        <f t="shared" si="33"/>
        <v>0.31235053199513829</v>
      </c>
      <c r="Q314">
        <f t="shared" si="34"/>
        <v>0.53310060398206205</v>
      </c>
    </row>
    <row r="315" spans="1:17" x14ac:dyDescent="0.3">
      <c r="A315" s="2" t="s">
        <v>59</v>
      </c>
      <c r="B315" s="2" t="s">
        <v>39</v>
      </c>
      <c r="C315">
        <v>470153</v>
      </c>
      <c r="D315">
        <v>110472</v>
      </c>
      <c r="E315">
        <v>80.086114101183995</v>
      </c>
      <c r="F315">
        <v>-89.231748972384594</v>
      </c>
      <c r="G315">
        <v>0.02</v>
      </c>
      <c r="H315">
        <v>48.4504534335627</v>
      </c>
      <c r="I315">
        <v>110472</v>
      </c>
      <c r="J315">
        <v>580625</v>
      </c>
      <c r="K315" s="1">
        <f t="shared" si="28"/>
        <v>0.19026393972012917</v>
      </c>
      <c r="L315" s="1">
        <f t="shared" si="29"/>
        <v>8.3095350123173192E-2</v>
      </c>
      <c r="M315" s="1">
        <f t="shared" si="30"/>
        <v>0.55096201880137452</v>
      </c>
      <c r="N315" s="1">
        <f t="shared" si="31"/>
        <v>0.1442872827577637</v>
      </c>
      <c r="O315" s="1">
        <f t="shared" si="32"/>
        <v>0.24569402228976692</v>
      </c>
      <c r="P315" s="1">
        <f t="shared" si="33"/>
        <v>2.3764159770419985E-2</v>
      </c>
      <c r="Q315">
        <f t="shared" si="34"/>
        <v>0.22262715200102567</v>
      </c>
    </row>
    <row r="316" spans="1:17" x14ac:dyDescent="0.3">
      <c r="A316" s="2" t="s">
        <v>59</v>
      </c>
      <c r="B316" s="2" t="s">
        <v>40</v>
      </c>
      <c r="C316">
        <v>378838</v>
      </c>
      <c r="D316">
        <v>129269</v>
      </c>
      <c r="E316">
        <v>111.197051014845</v>
      </c>
      <c r="F316">
        <v>-86.915996063220007</v>
      </c>
      <c r="G316">
        <v>6.16</v>
      </c>
      <c r="H316">
        <v>57.714914601178201</v>
      </c>
      <c r="I316">
        <v>129269</v>
      </c>
      <c r="J316">
        <v>508107</v>
      </c>
      <c r="K316" s="1">
        <f t="shared" si="28"/>
        <v>0.25441294845377055</v>
      </c>
      <c r="L316" s="1">
        <f t="shared" si="29"/>
        <v>6.4551850014428244E-2</v>
      </c>
      <c r="M316" s="1">
        <f t="shared" si="30"/>
        <v>0.64581157248318422</v>
      </c>
      <c r="N316" s="1">
        <f t="shared" si="31"/>
        <v>0.30099064188436486</v>
      </c>
      <c r="O316" s="1">
        <f t="shared" si="32"/>
        <v>0.55673758865248224</v>
      </c>
      <c r="P316" s="1">
        <f t="shared" si="33"/>
        <v>3.0396804500935223E-2</v>
      </c>
      <c r="Q316">
        <f t="shared" si="34"/>
        <v>0.30295760831806062</v>
      </c>
    </row>
    <row r="317" spans="1:17" x14ac:dyDescent="0.3">
      <c r="A317" s="2" t="s">
        <v>59</v>
      </c>
      <c r="B317" s="2" t="s">
        <v>41</v>
      </c>
      <c r="C317">
        <v>4344935</v>
      </c>
      <c r="D317">
        <v>167230</v>
      </c>
      <c r="E317">
        <v>100.151479389605</v>
      </c>
      <c r="F317">
        <v>4.6488739651479198</v>
      </c>
      <c r="G317">
        <v>14.19</v>
      </c>
      <c r="H317">
        <v>13.3414308949899</v>
      </c>
      <c r="I317">
        <v>167230</v>
      </c>
      <c r="J317">
        <v>4512165</v>
      </c>
      <c r="K317" s="1">
        <f t="shared" si="28"/>
        <v>3.7062031197883941E-2</v>
      </c>
      <c r="L317" s="1">
        <f t="shared" si="29"/>
        <v>0.86995424995740567</v>
      </c>
      <c r="M317" s="1">
        <f t="shared" si="30"/>
        <v>0.83736255973195683</v>
      </c>
      <c r="N317" s="1">
        <f t="shared" si="31"/>
        <v>0.24535496038907242</v>
      </c>
      <c r="O317" s="1">
        <f t="shared" si="32"/>
        <v>0.96352583586626128</v>
      </c>
      <c r="P317" s="1">
        <f t="shared" si="33"/>
        <v>0.29265157714550816</v>
      </c>
      <c r="Q317">
        <f t="shared" si="34"/>
        <v>0.6885133607970727</v>
      </c>
    </row>
    <row r="318" spans="1:17" x14ac:dyDescent="0.3">
      <c r="A318" s="2" t="s">
        <v>59</v>
      </c>
      <c r="B318" s="2" t="s">
        <v>42</v>
      </c>
      <c r="C318">
        <v>4928404</v>
      </c>
      <c r="D318">
        <v>174336</v>
      </c>
      <c r="E318">
        <v>214.59059250520301</v>
      </c>
      <c r="F318">
        <v>153.57494355352199</v>
      </c>
      <c r="G318">
        <v>8.7799999999999994</v>
      </c>
      <c r="H318">
        <v>12.395578330206</v>
      </c>
      <c r="I318">
        <v>174336</v>
      </c>
      <c r="J318">
        <v>5102740</v>
      </c>
      <c r="K318" s="1">
        <f t="shared" si="28"/>
        <v>3.4165174004554419E-2</v>
      </c>
      <c r="L318" s="1">
        <f t="shared" si="29"/>
        <v>0.98844034167234085</v>
      </c>
      <c r="M318" s="1">
        <f t="shared" si="30"/>
        <v>0.87321939478345112</v>
      </c>
      <c r="N318" s="1">
        <f t="shared" si="31"/>
        <v>0.8217758341946696</v>
      </c>
      <c r="O318" s="1">
        <f t="shared" si="32"/>
        <v>0.68946301925025322</v>
      </c>
      <c r="P318" s="1">
        <f t="shared" si="33"/>
        <v>0.71919695976494158</v>
      </c>
      <c r="Q318">
        <f t="shared" si="34"/>
        <v>0.8694801330216354</v>
      </c>
    </row>
    <row r="319" spans="1:17" x14ac:dyDescent="0.3">
      <c r="A319" s="2" t="s">
        <v>59</v>
      </c>
      <c r="B319" s="2" t="s">
        <v>43</v>
      </c>
      <c r="C319">
        <v>4527024</v>
      </c>
      <c r="D319">
        <v>49946</v>
      </c>
      <c r="E319">
        <v>225.06155819242801</v>
      </c>
      <c r="F319">
        <v>138.54570717304401</v>
      </c>
      <c r="G319">
        <v>4.92</v>
      </c>
      <c r="H319">
        <v>4.2266155088169404</v>
      </c>
      <c r="I319">
        <v>49946</v>
      </c>
      <c r="J319">
        <v>4576970</v>
      </c>
      <c r="K319" s="1">
        <f t="shared" si="28"/>
        <v>1.0912459552935676E-2</v>
      </c>
      <c r="L319" s="1">
        <f t="shared" si="29"/>
        <v>0.90693138833884634</v>
      </c>
      <c r="M319" s="1">
        <f t="shared" si="30"/>
        <v>0.24554817158398806</v>
      </c>
      <c r="N319" s="1">
        <f t="shared" si="31"/>
        <v>0.87451727046324546</v>
      </c>
      <c r="O319" s="1">
        <f t="shared" si="32"/>
        <v>0.49392097264437684</v>
      </c>
      <c r="P319" s="1">
        <f t="shared" si="33"/>
        <v>0.67615109546389818</v>
      </c>
      <c r="Q319">
        <f t="shared" si="34"/>
        <v>0.67072368971806984</v>
      </c>
    </row>
    <row r="320" spans="1:17" x14ac:dyDescent="0.3">
      <c r="A320" s="2" t="s">
        <v>59</v>
      </c>
      <c r="B320" s="2" t="s">
        <v>44</v>
      </c>
      <c r="C320">
        <v>3446608</v>
      </c>
      <c r="D320">
        <v>93620</v>
      </c>
      <c r="E320">
        <v>208.517643496407</v>
      </c>
      <c r="F320">
        <v>70.948879754530097</v>
      </c>
      <c r="G320">
        <v>-3.21</v>
      </c>
      <c r="H320">
        <v>9.8003500573658506</v>
      </c>
      <c r="I320">
        <v>93620</v>
      </c>
      <c r="J320">
        <v>3540228</v>
      </c>
      <c r="K320" s="1">
        <f t="shared" si="28"/>
        <v>2.6444624470514329E-2</v>
      </c>
      <c r="L320" s="1">
        <f t="shared" si="29"/>
        <v>0.6875293819489896</v>
      </c>
      <c r="M320" s="1">
        <f t="shared" si="30"/>
        <v>0.46592692391145291</v>
      </c>
      <c r="N320" s="1">
        <f t="shared" si="31"/>
        <v>0.79118686440170194</v>
      </c>
      <c r="O320" s="1">
        <f t="shared" si="32"/>
        <v>8.2066869300911852E-2</v>
      </c>
      <c r="P320" s="1">
        <f t="shared" si="33"/>
        <v>0.48254419578015956</v>
      </c>
      <c r="Q320">
        <f t="shared" si="34"/>
        <v>0.571815494048457</v>
      </c>
    </row>
    <row r="321" spans="1:17" x14ac:dyDescent="0.3">
      <c r="A321" s="2" t="s">
        <v>59</v>
      </c>
      <c r="B321" s="2" t="s">
        <v>45</v>
      </c>
      <c r="C321">
        <v>766818</v>
      </c>
      <c r="D321">
        <v>184246</v>
      </c>
      <c r="E321">
        <v>110.297519409839</v>
      </c>
      <c r="F321">
        <v>-75.7077519828634</v>
      </c>
      <c r="G321">
        <v>6.04</v>
      </c>
      <c r="H321">
        <v>49.008047602011402</v>
      </c>
      <c r="I321">
        <v>184246</v>
      </c>
      <c r="J321">
        <v>951064</v>
      </c>
      <c r="K321" s="1">
        <f t="shared" si="28"/>
        <v>0.19372618456802065</v>
      </c>
      <c r="L321" s="1">
        <f t="shared" si="29"/>
        <v>0.1433396414199023</v>
      </c>
      <c r="M321" s="1">
        <f t="shared" si="30"/>
        <v>0.92322519767682421</v>
      </c>
      <c r="N321" s="1">
        <f t="shared" si="31"/>
        <v>0.29645977145329505</v>
      </c>
      <c r="O321" s="1">
        <f t="shared" si="32"/>
        <v>0.55065856129685919</v>
      </c>
      <c r="P321" s="1">
        <f t="shared" si="33"/>
        <v>6.2498804996628986E-2</v>
      </c>
      <c r="Q321">
        <f t="shared" si="34"/>
        <v>0.40158286483617978</v>
      </c>
    </row>
    <row r="322" spans="1:17" x14ac:dyDescent="0.3">
      <c r="A322" s="2" t="s">
        <v>59</v>
      </c>
      <c r="B322" s="2" t="s">
        <v>46</v>
      </c>
      <c r="C322">
        <v>1814562</v>
      </c>
      <c r="D322">
        <v>72292</v>
      </c>
      <c r="E322">
        <v>82.783299608766697</v>
      </c>
      <c r="F322">
        <v>-63.827939558849003</v>
      </c>
      <c r="G322">
        <v>11.74</v>
      </c>
      <c r="H322">
        <v>13.745490153204001</v>
      </c>
      <c r="I322">
        <v>72292</v>
      </c>
      <c r="J322">
        <v>1886854</v>
      </c>
      <c r="K322" s="1">
        <f t="shared" si="28"/>
        <v>3.8313510213296841E-2</v>
      </c>
      <c r="L322" s="1">
        <f t="shared" si="29"/>
        <v>0.35610688642824551</v>
      </c>
      <c r="M322" s="1">
        <f t="shared" si="30"/>
        <v>0.35830595881459504</v>
      </c>
      <c r="N322" s="1">
        <f t="shared" si="31"/>
        <v>0.15787279547950384</v>
      </c>
      <c r="O322" s="1">
        <f t="shared" si="32"/>
        <v>0.83941236068895642</v>
      </c>
      <c r="P322" s="1">
        <f t="shared" si="33"/>
        <v>9.6524272464172348E-2</v>
      </c>
      <c r="Q322">
        <f t="shared" si="34"/>
        <v>0.3393821223647483</v>
      </c>
    </row>
    <row r="323" spans="1:17" x14ac:dyDescent="0.3">
      <c r="A323" s="2" t="s">
        <v>59</v>
      </c>
      <c r="B323" s="2" t="s">
        <v>47</v>
      </c>
      <c r="C323">
        <v>873741</v>
      </c>
      <c r="D323">
        <v>21417</v>
      </c>
      <c r="E323">
        <v>231.24409322153099</v>
      </c>
      <c r="F323">
        <v>-52.063914780292897</v>
      </c>
      <c r="G323">
        <v>-3.84</v>
      </c>
      <c r="H323">
        <v>8.9292470677260596</v>
      </c>
      <c r="I323">
        <v>21417</v>
      </c>
      <c r="J323">
        <v>895158</v>
      </c>
      <c r="K323" s="1">
        <f t="shared" ref="K323:K386" si="35">I323/J323</f>
        <v>2.3925385239253853E-2</v>
      </c>
      <c r="L323" s="1">
        <f t="shared" ref="L323:L386" si="36">(C323-$A$435)/($A$436-$A$435)</f>
        <v>0.16505268595943398</v>
      </c>
      <c r="M323" s="1">
        <f t="shared" ref="M323:M386" si="37">(D323-$B$435)/($B$436-$B$435)</f>
        <v>0.10159100198307573</v>
      </c>
      <c r="N323" s="1">
        <f t="shared" ref="N323:N386" si="38">(E323-$C$435)/($C$436-$C$435)</f>
        <v>0.90565821648062172</v>
      </c>
      <c r="O323" s="1">
        <f t="shared" ref="O323:O386" si="39">(G323-$E$435)/($E$436-$E$435)</f>
        <v>5.0151975683890584E-2</v>
      </c>
      <c r="P323" s="1">
        <f t="shared" ref="P323:P386" si="40">(F323-$D$435)/($D$436-$D$435)</f>
        <v>0.13021810769518977</v>
      </c>
      <c r="Q323">
        <f t="shared" ref="Q323:Q386" si="41">(0.35)*(L323)+(0.25)*(M323)+(0.2)*(N323)+(0.1)*(O323)+(0.1)*(P323)</f>
        <v>0.28233484221560323</v>
      </c>
    </row>
    <row r="324" spans="1:17" x14ac:dyDescent="0.3">
      <c r="A324" s="2" t="s">
        <v>59</v>
      </c>
      <c r="B324" s="2" t="s">
        <v>48</v>
      </c>
      <c r="C324">
        <v>3291386</v>
      </c>
      <c r="D324">
        <v>187462</v>
      </c>
      <c r="E324">
        <v>173.563202531412</v>
      </c>
      <c r="F324">
        <v>39.825160655357998</v>
      </c>
      <c r="G324">
        <v>2.11</v>
      </c>
      <c r="H324">
        <v>18.5549265397648</v>
      </c>
      <c r="I324">
        <v>187462</v>
      </c>
      <c r="J324">
        <v>3478848</v>
      </c>
      <c r="K324" s="1">
        <f t="shared" si="35"/>
        <v>5.3886229004544033E-2</v>
      </c>
      <c r="L324" s="1">
        <f t="shared" si="36"/>
        <v>0.6560081732332298</v>
      </c>
      <c r="M324" s="1">
        <f t="shared" si="37"/>
        <v>0.93945311514454255</v>
      </c>
      <c r="N324" s="1">
        <f t="shared" si="38"/>
        <v>0.61512407558861437</v>
      </c>
      <c r="O324" s="1">
        <f t="shared" si="39"/>
        <v>0.35157041540020256</v>
      </c>
      <c r="P324" s="1">
        <f t="shared" si="40"/>
        <v>0.39340145060203463</v>
      </c>
      <c r="Q324">
        <f t="shared" si="41"/>
        <v>0.66198814113571269</v>
      </c>
    </row>
    <row r="325" spans="1:17" x14ac:dyDescent="0.3">
      <c r="A325" s="2" t="s">
        <v>59</v>
      </c>
      <c r="B325" s="2" t="s">
        <v>49</v>
      </c>
      <c r="C325">
        <v>890542</v>
      </c>
      <c r="D325">
        <v>134451</v>
      </c>
      <c r="E325">
        <v>205.074571240974</v>
      </c>
      <c r="F325">
        <v>-51.322873849360199</v>
      </c>
      <c r="G325">
        <v>0.89</v>
      </c>
      <c r="H325">
        <v>37.652221520555898</v>
      </c>
      <c r="I325">
        <v>134451</v>
      </c>
      <c r="J325">
        <v>1024993</v>
      </c>
      <c r="K325" s="1">
        <f t="shared" si="35"/>
        <v>0.13117260312997259</v>
      </c>
      <c r="L325" s="1">
        <f t="shared" si="36"/>
        <v>0.16846449503052879</v>
      </c>
      <c r="M325" s="1">
        <f t="shared" si="37"/>
        <v>0.67195991462177751</v>
      </c>
      <c r="N325" s="1">
        <f t="shared" si="38"/>
        <v>0.77384437839302633</v>
      </c>
      <c r="O325" s="1">
        <f t="shared" si="39"/>
        <v>0.28976697061803441</v>
      </c>
      <c r="P325" s="1">
        <f t="shared" si="40"/>
        <v>0.13234055400895472</v>
      </c>
      <c r="Q325">
        <f t="shared" si="41"/>
        <v>0.42393218005743361</v>
      </c>
    </row>
    <row r="326" spans="1:17" x14ac:dyDescent="0.3">
      <c r="A326" s="2" t="s">
        <v>60</v>
      </c>
      <c r="B326" s="2" t="s">
        <v>14</v>
      </c>
      <c r="C326">
        <v>366330</v>
      </c>
      <c r="D326">
        <v>111090</v>
      </c>
      <c r="E326">
        <v>124.418750785471</v>
      </c>
      <c r="F326">
        <v>-77.641154328732696</v>
      </c>
      <c r="G326">
        <v>-1.45</v>
      </c>
      <c r="H326">
        <v>54.812567072493799</v>
      </c>
      <c r="I326">
        <v>111090</v>
      </c>
      <c r="J326">
        <v>477420</v>
      </c>
      <c r="K326" s="1">
        <f t="shared" si="35"/>
        <v>0.23268819907000127</v>
      </c>
      <c r="L326" s="1">
        <f t="shared" si="36"/>
        <v>6.201182811922832E-2</v>
      </c>
      <c r="M326" s="1">
        <f t="shared" si="37"/>
        <v>0.55408044324013384</v>
      </c>
      <c r="N326" s="1">
        <f t="shared" si="38"/>
        <v>0.3675873108683429</v>
      </c>
      <c r="O326" s="1">
        <f t="shared" si="39"/>
        <v>0.17122593718338397</v>
      </c>
      <c r="P326" s="1">
        <f t="shared" si="40"/>
        <v>5.6961266500813422E-2</v>
      </c>
      <c r="Q326">
        <f t="shared" si="41"/>
        <v>0.25656043319385169</v>
      </c>
    </row>
    <row r="327" spans="1:17" x14ac:dyDescent="0.3">
      <c r="A327" s="2" t="s">
        <v>60</v>
      </c>
      <c r="B327" s="2" t="s">
        <v>15</v>
      </c>
      <c r="C327">
        <v>1130132</v>
      </c>
      <c r="D327">
        <v>16478</v>
      </c>
      <c r="E327">
        <v>133.61125404453099</v>
      </c>
      <c r="F327">
        <v>-42.333751568381402</v>
      </c>
      <c r="G327">
        <v>5.51</v>
      </c>
      <c r="H327">
        <v>5.51083404958346</v>
      </c>
      <c r="I327">
        <v>16478</v>
      </c>
      <c r="J327">
        <v>1146610</v>
      </c>
      <c r="K327" s="1">
        <f t="shared" si="35"/>
        <v>1.4371059034894166E-2</v>
      </c>
      <c r="L327" s="1">
        <f t="shared" si="36"/>
        <v>0.21711846415996208</v>
      </c>
      <c r="M327" s="1">
        <f t="shared" si="37"/>
        <v>7.6668836444188787E-2</v>
      </c>
      <c r="N327" s="1">
        <f t="shared" si="38"/>
        <v>0.41388923174827624</v>
      </c>
      <c r="O327" s="1">
        <f t="shared" si="39"/>
        <v>0.52380952380952372</v>
      </c>
      <c r="P327" s="1">
        <f t="shared" si="40"/>
        <v>0.15808667497589318</v>
      </c>
      <c r="Q327">
        <f t="shared" si="41"/>
        <v>0.24612613779523088</v>
      </c>
    </row>
    <row r="328" spans="1:17" x14ac:dyDescent="0.3">
      <c r="A328" s="2" t="s">
        <v>60</v>
      </c>
      <c r="B328" s="2" t="s">
        <v>16</v>
      </c>
      <c r="C328">
        <v>2538873</v>
      </c>
      <c r="D328">
        <v>16907</v>
      </c>
      <c r="E328">
        <v>224.47158988645299</v>
      </c>
      <c r="F328">
        <v>115.947302383939</v>
      </c>
      <c r="G328">
        <v>-2.75</v>
      </c>
      <c r="H328">
        <v>2.5945894515290799</v>
      </c>
      <c r="I328">
        <v>16907</v>
      </c>
      <c r="J328">
        <v>2555780</v>
      </c>
      <c r="K328" s="1">
        <f t="shared" si="35"/>
        <v>6.6152016214228145E-3</v>
      </c>
      <c r="L328" s="1">
        <f t="shared" si="36"/>
        <v>0.50319401458096036</v>
      </c>
      <c r="M328" s="1">
        <f t="shared" si="37"/>
        <v>7.883356797206538E-2</v>
      </c>
      <c r="N328" s="1">
        <f t="shared" si="38"/>
        <v>0.87154564618908481</v>
      </c>
      <c r="O328" s="1">
        <f t="shared" si="39"/>
        <v>0.10536980749746706</v>
      </c>
      <c r="P328" s="1">
        <f t="shared" si="40"/>
        <v>0.61142605945106221</v>
      </c>
      <c r="Q328">
        <f t="shared" si="41"/>
        <v>0.44181501302902232</v>
      </c>
    </row>
    <row r="329" spans="1:17" x14ac:dyDescent="0.3">
      <c r="A329" s="2" t="s">
        <v>60</v>
      </c>
      <c r="B329" s="2" t="s">
        <v>17</v>
      </c>
      <c r="C329">
        <v>728810</v>
      </c>
      <c r="D329">
        <v>70324</v>
      </c>
      <c r="E329">
        <v>74.455598185035299</v>
      </c>
      <c r="F329">
        <v>-77.603513174404</v>
      </c>
      <c r="G329">
        <v>-2.66</v>
      </c>
      <c r="H329">
        <v>27.848166430057798</v>
      </c>
      <c r="I329">
        <v>70324</v>
      </c>
      <c r="J329">
        <v>799134</v>
      </c>
      <c r="K329" s="1">
        <f t="shared" si="35"/>
        <v>8.8000260281755005E-2</v>
      </c>
      <c r="L329" s="1">
        <f t="shared" si="36"/>
        <v>0.1356212889900367</v>
      </c>
      <c r="M329" s="1">
        <f t="shared" si="37"/>
        <v>0.34837544215524507</v>
      </c>
      <c r="N329" s="1">
        <f t="shared" si="38"/>
        <v>0.11592681389355344</v>
      </c>
      <c r="O329" s="1">
        <f t="shared" si="39"/>
        <v>0.10992907801418439</v>
      </c>
      <c r="P329" s="1">
        <f t="shared" si="40"/>
        <v>5.706907610473131E-2</v>
      </c>
      <c r="Q329">
        <f t="shared" si="41"/>
        <v>0.17444648987592637</v>
      </c>
    </row>
    <row r="330" spans="1:17" x14ac:dyDescent="0.3">
      <c r="A330" s="2" t="s">
        <v>60</v>
      </c>
      <c r="B330" s="2" t="s">
        <v>18</v>
      </c>
      <c r="C330">
        <v>2232545</v>
      </c>
      <c r="D330">
        <v>179442</v>
      </c>
      <c r="E330">
        <v>147.554692458956</v>
      </c>
      <c r="F330">
        <v>33.9648682559598</v>
      </c>
      <c r="G330">
        <v>3.87</v>
      </c>
      <c r="H330">
        <v>24.3285373450206</v>
      </c>
      <c r="I330">
        <v>179442</v>
      </c>
      <c r="J330">
        <v>2411987</v>
      </c>
      <c r="K330" s="1">
        <f t="shared" si="35"/>
        <v>7.4395923361112642E-2</v>
      </c>
      <c r="L330" s="1">
        <f t="shared" si="36"/>
        <v>0.44098744061927148</v>
      </c>
      <c r="M330" s="1">
        <f t="shared" si="37"/>
        <v>0.89898424135999633</v>
      </c>
      <c r="N330" s="1">
        <f t="shared" si="38"/>
        <v>0.48412124190531675</v>
      </c>
      <c r="O330" s="1">
        <f t="shared" si="39"/>
        <v>0.44072948328267469</v>
      </c>
      <c r="P330" s="1">
        <f t="shared" si="40"/>
        <v>0.37661674211767004</v>
      </c>
      <c r="Q330">
        <f t="shared" si="41"/>
        <v>0.55765053547784194</v>
      </c>
    </row>
    <row r="331" spans="1:17" x14ac:dyDescent="0.3">
      <c r="A331" s="2" t="s">
        <v>60</v>
      </c>
      <c r="B331" s="2" t="s">
        <v>19</v>
      </c>
      <c r="C331">
        <v>802834</v>
      </c>
      <c r="D331">
        <v>119843</v>
      </c>
      <c r="E331">
        <v>140.67761524347</v>
      </c>
      <c r="F331">
        <v>-51.141781681304799</v>
      </c>
      <c r="G331">
        <v>-2.2200000000000002</v>
      </c>
      <c r="H331">
        <v>37.386504196673499</v>
      </c>
      <c r="I331">
        <v>119843</v>
      </c>
      <c r="J331">
        <v>922677</v>
      </c>
      <c r="K331" s="1">
        <f t="shared" si="35"/>
        <v>0.12988618985842282</v>
      </c>
      <c r="L331" s="1">
        <f t="shared" si="36"/>
        <v>0.15065347485270697</v>
      </c>
      <c r="M331" s="1">
        <f t="shared" si="37"/>
        <v>0.59824803080074884</v>
      </c>
      <c r="N331" s="1">
        <f t="shared" si="38"/>
        <v>0.44948194114653889</v>
      </c>
      <c r="O331" s="1">
        <f t="shared" si="39"/>
        <v>0.13221884498480241</v>
      </c>
      <c r="P331" s="1">
        <f t="shared" si="40"/>
        <v>0.13285922765908242</v>
      </c>
      <c r="Q331">
        <f t="shared" si="41"/>
        <v>0.31869491939233091</v>
      </c>
    </row>
    <row r="332" spans="1:17" x14ac:dyDescent="0.3">
      <c r="A332" s="2" t="s">
        <v>60</v>
      </c>
      <c r="B332" s="2" t="s">
        <v>20</v>
      </c>
      <c r="C332">
        <v>2246210</v>
      </c>
      <c r="D332">
        <v>44258</v>
      </c>
      <c r="E332">
        <v>189.69922304088001</v>
      </c>
      <c r="F332">
        <v>63.5508155583438</v>
      </c>
      <c r="G332">
        <v>11</v>
      </c>
      <c r="H332">
        <v>7.3055848322206298</v>
      </c>
      <c r="I332">
        <v>44258</v>
      </c>
      <c r="J332">
        <v>2290468</v>
      </c>
      <c r="K332" s="1">
        <f t="shared" si="35"/>
        <v>1.9322688638304487E-2</v>
      </c>
      <c r="L332" s="1">
        <f t="shared" si="36"/>
        <v>0.44376241657049526</v>
      </c>
      <c r="M332" s="1">
        <f t="shared" si="37"/>
        <v>0.21684655636123262</v>
      </c>
      <c r="N332" s="1">
        <f t="shared" si="38"/>
        <v>0.69639995049352788</v>
      </c>
      <c r="O332" s="1">
        <f t="shared" si="39"/>
        <v>0.80192502532928056</v>
      </c>
      <c r="P332" s="1">
        <f t="shared" si="40"/>
        <v>0.46135509079721471</v>
      </c>
      <c r="Q332">
        <f t="shared" si="41"/>
        <v>0.47513648660133662</v>
      </c>
    </row>
    <row r="333" spans="1:17" x14ac:dyDescent="0.3">
      <c r="A333" s="2" t="s">
        <v>60</v>
      </c>
      <c r="B333" s="2" t="s">
        <v>21</v>
      </c>
      <c r="C333">
        <v>3960475</v>
      </c>
      <c r="D333">
        <v>17295</v>
      </c>
      <c r="E333">
        <v>65.338116582909507</v>
      </c>
      <c r="F333">
        <v>-2.1706398996235898</v>
      </c>
      <c r="G333">
        <v>7.29</v>
      </c>
      <c r="H333">
        <v>1.71677227951276</v>
      </c>
      <c r="I333">
        <v>17295</v>
      </c>
      <c r="J333">
        <v>3977770</v>
      </c>
      <c r="K333" s="1">
        <f t="shared" si="35"/>
        <v>4.3479135294398619E-3</v>
      </c>
      <c r="L333" s="1">
        <f t="shared" si="36"/>
        <v>0.79188127123750118</v>
      </c>
      <c r="M333" s="1">
        <f t="shared" si="37"/>
        <v>8.079141373620552E-2</v>
      </c>
      <c r="N333" s="1">
        <f t="shared" si="38"/>
        <v>7.0002771239578349E-2</v>
      </c>
      <c r="O333" s="1">
        <f t="shared" si="39"/>
        <v>0.61398176291793316</v>
      </c>
      <c r="P333" s="1">
        <f t="shared" si="40"/>
        <v>0.27311952235639436</v>
      </c>
      <c r="Q333">
        <f t="shared" si="41"/>
        <v>0.40006698114252526</v>
      </c>
    </row>
    <row r="334" spans="1:17" x14ac:dyDescent="0.3">
      <c r="A334" s="2" t="s">
        <v>60</v>
      </c>
      <c r="B334" s="2" t="s">
        <v>22</v>
      </c>
      <c r="C334">
        <v>2750795</v>
      </c>
      <c r="D334">
        <v>92875</v>
      </c>
      <c r="E334">
        <v>75.325195961556702</v>
      </c>
      <c r="F334">
        <v>-19.3726474278544</v>
      </c>
      <c r="G334">
        <v>5.99</v>
      </c>
      <c r="H334">
        <v>11.8982991677596</v>
      </c>
      <c r="I334">
        <v>92875</v>
      </c>
      <c r="J334">
        <v>2843670</v>
      </c>
      <c r="K334" s="1">
        <f t="shared" si="35"/>
        <v>3.2660259453452758E-2</v>
      </c>
      <c r="L334" s="1">
        <f t="shared" si="36"/>
        <v>0.5462293935443886</v>
      </c>
      <c r="M334" s="1">
        <f t="shared" si="37"/>
        <v>0.46216765820453432</v>
      </c>
      <c r="N334" s="1">
        <f t="shared" si="38"/>
        <v>0.12030690996870863</v>
      </c>
      <c r="O334" s="1">
        <f t="shared" si="39"/>
        <v>0.54812563323201613</v>
      </c>
      <c r="P334" s="1">
        <f t="shared" si="40"/>
        <v>0.22385053336587055</v>
      </c>
      <c r="Q334">
        <f t="shared" si="41"/>
        <v>0.40798120094520002</v>
      </c>
    </row>
    <row r="335" spans="1:17" x14ac:dyDescent="0.3">
      <c r="A335" s="2" t="s">
        <v>60</v>
      </c>
      <c r="B335" s="2" t="s">
        <v>23</v>
      </c>
      <c r="C335">
        <v>1845436</v>
      </c>
      <c r="D335">
        <v>20348</v>
      </c>
      <c r="E335">
        <v>180.03155777946401</v>
      </c>
      <c r="F335">
        <v>26.436637390213299</v>
      </c>
      <c r="G335">
        <v>-0.81</v>
      </c>
      <c r="H335">
        <v>4.2241445526014703</v>
      </c>
      <c r="I335">
        <v>20348</v>
      </c>
      <c r="J335">
        <v>1865784</v>
      </c>
      <c r="K335" s="1">
        <f t="shared" si="35"/>
        <v>1.0905871204812562E-2</v>
      </c>
      <c r="L335" s="1">
        <f t="shared" si="36"/>
        <v>0.36237652473911874</v>
      </c>
      <c r="M335" s="1">
        <f t="shared" si="37"/>
        <v>9.6196834143215407E-2</v>
      </c>
      <c r="N335" s="1">
        <f t="shared" si="38"/>
        <v>0.64770467572312351</v>
      </c>
      <c r="O335" s="1">
        <f t="shared" si="39"/>
        <v>0.20364741641337381</v>
      </c>
      <c r="P335" s="1">
        <f t="shared" si="40"/>
        <v>0.35505482133407101</v>
      </c>
      <c r="Q335">
        <f t="shared" si="41"/>
        <v>0.33629215111386457</v>
      </c>
    </row>
    <row r="336" spans="1:17" x14ac:dyDescent="0.3">
      <c r="A336" s="2" t="s">
        <v>60</v>
      </c>
      <c r="B336" s="2" t="s">
        <v>24</v>
      </c>
      <c r="C336">
        <v>2238123</v>
      </c>
      <c r="D336">
        <v>49658</v>
      </c>
      <c r="E336">
        <v>152.85553993148801</v>
      </c>
      <c r="F336">
        <v>31.631116687578398</v>
      </c>
      <c r="G336">
        <v>-1.83</v>
      </c>
      <c r="H336">
        <v>8.1514965599742197</v>
      </c>
      <c r="I336">
        <v>49658</v>
      </c>
      <c r="J336">
        <v>2287781</v>
      </c>
      <c r="K336" s="1">
        <f t="shared" si="35"/>
        <v>2.170574893313652E-2</v>
      </c>
      <c r="L336" s="1">
        <f t="shared" si="36"/>
        <v>0.44212017503975637</v>
      </c>
      <c r="M336" s="1">
        <f t="shared" si="37"/>
        <v>0.24409492524359538</v>
      </c>
      <c r="N336" s="1">
        <f t="shared" si="38"/>
        <v>0.51082119656977343</v>
      </c>
      <c r="O336" s="1">
        <f t="shared" si="39"/>
        <v>0.1519756838905775</v>
      </c>
      <c r="P336" s="1">
        <f t="shared" si="40"/>
        <v>0.36993254667475434</v>
      </c>
      <c r="Q336">
        <f t="shared" si="41"/>
        <v>0.37012085494530139</v>
      </c>
    </row>
    <row r="337" spans="1:17" x14ac:dyDescent="0.3">
      <c r="A337" s="2" t="s">
        <v>60</v>
      </c>
      <c r="B337" s="2" t="s">
        <v>25</v>
      </c>
      <c r="C337">
        <v>1329231</v>
      </c>
      <c r="D337">
        <v>161613</v>
      </c>
      <c r="E337">
        <v>175.94060813874501</v>
      </c>
      <c r="F337">
        <v>-1.2672521957339999</v>
      </c>
      <c r="G337">
        <v>2.63</v>
      </c>
      <c r="H337">
        <v>32.720431364748201</v>
      </c>
      <c r="I337">
        <v>161613</v>
      </c>
      <c r="J337">
        <v>1490844</v>
      </c>
      <c r="K337" s="1">
        <f t="shared" si="35"/>
        <v>0.108403696161369</v>
      </c>
      <c r="L337" s="1">
        <f t="shared" si="36"/>
        <v>0.25754985361570332</v>
      </c>
      <c r="M337" s="1">
        <f t="shared" si="37"/>
        <v>0.80901921010006206</v>
      </c>
      <c r="N337" s="1">
        <f t="shared" si="38"/>
        <v>0.62709888193113605</v>
      </c>
      <c r="O337" s="1">
        <f t="shared" si="39"/>
        <v>0.37791286727456935</v>
      </c>
      <c r="P337" s="1">
        <f t="shared" si="40"/>
        <v>0.27570695285042629</v>
      </c>
      <c r="Q337">
        <f t="shared" si="41"/>
        <v>0.48317900968923844</v>
      </c>
    </row>
    <row r="338" spans="1:17" x14ac:dyDescent="0.3">
      <c r="A338" s="2" t="s">
        <v>60</v>
      </c>
      <c r="B338" s="2" t="s">
        <v>26</v>
      </c>
      <c r="C338">
        <v>2099636</v>
      </c>
      <c r="D338">
        <v>50008</v>
      </c>
      <c r="E338">
        <v>150.62959262091701</v>
      </c>
      <c r="F338">
        <v>-27.139080050254002</v>
      </c>
      <c r="G338">
        <v>-2.4500000000000002</v>
      </c>
      <c r="H338">
        <v>8.6982990588206608</v>
      </c>
      <c r="I338">
        <v>50008</v>
      </c>
      <c r="J338">
        <v>2149644</v>
      </c>
      <c r="K338" s="1">
        <f t="shared" si="35"/>
        <v>2.3263386867779037E-2</v>
      </c>
      <c r="L338" s="1">
        <f t="shared" si="36"/>
        <v>0.41399737265723696</v>
      </c>
      <c r="M338" s="1">
        <f t="shared" si="37"/>
        <v>0.24586102322671147</v>
      </c>
      <c r="N338" s="1">
        <f t="shared" si="38"/>
        <v>0.4996092738374775</v>
      </c>
      <c r="O338" s="1">
        <f t="shared" si="39"/>
        <v>0.1205673758865248</v>
      </c>
      <c r="P338" s="1">
        <f t="shared" si="40"/>
        <v>0.20160636897164619</v>
      </c>
      <c r="Q338">
        <f t="shared" si="41"/>
        <v>0.33850356549002342</v>
      </c>
    </row>
    <row r="339" spans="1:17" x14ac:dyDescent="0.3">
      <c r="A339" s="2" t="s">
        <v>60</v>
      </c>
      <c r="B339" s="2" t="s">
        <v>27</v>
      </c>
      <c r="C339">
        <v>2112141</v>
      </c>
      <c r="D339">
        <v>26254</v>
      </c>
      <c r="E339">
        <v>82.024134923622597</v>
      </c>
      <c r="F339">
        <v>-60.531793208198103</v>
      </c>
      <c r="G339">
        <v>-2.4900000000000002</v>
      </c>
      <c r="H339">
        <v>4.7365161781506604</v>
      </c>
      <c r="I339">
        <v>26254</v>
      </c>
      <c r="J339">
        <v>2138395</v>
      </c>
      <c r="K339" s="1">
        <f t="shared" si="35"/>
        <v>1.2277432373345429E-2</v>
      </c>
      <c r="L339" s="1">
        <f t="shared" si="36"/>
        <v>0.41653678533707988</v>
      </c>
      <c r="M339" s="1">
        <f t="shared" si="37"/>
        <v>0.12599847610974027</v>
      </c>
      <c r="N339" s="1">
        <f t="shared" si="38"/>
        <v>0.15404894225957297</v>
      </c>
      <c r="O339" s="1">
        <f t="shared" si="39"/>
        <v>0.11854103343465043</v>
      </c>
      <c r="P339" s="1">
        <f t="shared" si="40"/>
        <v>0.10596490304143827</v>
      </c>
      <c r="Q339">
        <f t="shared" si="41"/>
        <v>0.23054787599493648</v>
      </c>
    </row>
    <row r="340" spans="1:17" x14ac:dyDescent="0.3">
      <c r="A340" s="2" t="s">
        <v>60</v>
      </c>
      <c r="B340" s="2" t="s">
        <v>28</v>
      </c>
      <c r="C340">
        <v>4852893</v>
      </c>
      <c r="D340">
        <v>27884</v>
      </c>
      <c r="E340">
        <v>206.708890817998</v>
      </c>
      <c r="F340">
        <v>127.020945451817</v>
      </c>
      <c r="G340">
        <v>-3.95</v>
      </c>
      <c r="H340">
        <v>2.2467034980256502</v>
      </c>
      <c r="I340">
        <v>27884</v>
      </c>
      <c r="J340">
        <v>4880777</v>
      </c>
      <c r="K340" s="1">
        <f t="shared" si="35"/>
        <v>5.7130247909298049E-3</v>
      </c>
      <c r="L340" s="1">
        <f t="shared" si="36"/>
        <v>0.97310618806437454</v>
      </c>
      <c r="M340" s="1">
        <f t="shared" si="37"/>
        <v>0.13422344671682385</v>
      </c>
      <c r="N340" s="1">
        <f t="shared" si="38"/>
        <v>0.78207631844410119</v>
      </c>
      <c r="O340" s="1">
        <f t="shared" si="39"/>
        <v>4.4579533941236059E-2</v>
      </c>
      <c r="P340" s="1">
        <f t="shared" si="40"/>
        <v>0.64314254355914613</v>
      </c>
      <c r="Q340">
        <f t="shared" si="41"/>
        <v>0.59933049894059554</v>
      </c>
    </row>
    <row r="341" spans="1:17" x14ac:dyDescent="0.3">
      <c r="A341" s="2" t="s">
        <v>60</v>
      </c>
      <c r="B341" s="2" t="s">
        <v>29</v>
      </c>
      <c r="C341">
        <v>1499646</v>
      </c>
      <c r="D341">
        <v>46025</v>
      </c>
      <c r="E341">
        <v>139.48634605941299</v>
      </c>
      <c r="F341">
        <v>-51.486058242232097</v>
      </c>
      <c r="G341">
        <v>13.9</v>
      </c>
      <c r="H341">
        <v>10.9339532209727</v>
      </c>
      <c r="I341">
        <v>46025</v>
      </c>
      <c r="J341">
        <v>1545671</v>
      </c>
      <c r="K341" s="1">
        <f t="shared" si="35"/>
        <v>2.977671186170925E-2</v>
      </c>
      <c r="L341" s="1">
        <f t="shared" si="36"/>
        <v>0.2921563319711955</v>
      </c>
      <c r="M341" s="1">
        <f t="shared" si="37"/>
        <v>0.22576282817885021</v>
      </c>
      <c r="N341" s="1">
        <f t="shared" si="38"/>
        <v>0.44348161131771374</v>
      </c>
      <c r="O341" s="1">
        <f t="shared" si="39"/>
        <v>0.94883485309017213</v>
      </c>
      <c r="P341" s="1">
        <f t="shared" si="40"/>
        <v>0.13187317076646768</v>
      </c>
      <c r="Q341">
        <f t="shared" si="41"/>
        <v>0.35546254788383769</v>
      </c>
    </row>
    <row r="342" spans="1:17" x14ac:dyDescent="0.3">
      <c r="A342" s="2" t="s">
        <v>60</v>
      </c>
      <c r="B342" s="2" t="s">
        <v>30</v>
      </c>
      <c r="C342">
        <v>2975215</v>
      </c>
      <c r="D342">
        <v>173304</v>
      </c>
      <c r="E342">
        <v>222.00914144078499</v>
      </c>
      <c r="F342">
        <v>57.287779632095102</v>
      </c>
      <c r="G342">
        <v>3.93</v>
      </c>
      <c r="H342">
        <v>18.8967981134168</v>
      </c>
      <c r="I342">
        <v>173304</v>
      </c>
      <c r="J342">
        <v>3148519</v>
      </c>
      <c r="K342" s="1">
        <f t="shared" si="35"/>
        <v>5.5043021814383204E-2</v>
      </c>
      <c r="L342" s="1">
        <f t="shared" si="36"/>
        <v>0.59180276368515994</v>
      </c>
      <c r="M342" s="1">
        <f t="shared" si="37"/>
        <v>0.86801192873037736</v>
      </c>
      <c r="N342" s="1">
        <f t="shared" si="38"/>
        <v>0.85914248571265395</v>
      </c>
      <c r="O342" s="1">
        <f t="shared" si="39"/>
        <v>0.44376899696048627</v>
      </c>
      <c r="P342" s="1">
        <f t="shared" si="40"/>
        <v>0.44341686773858668</v>
      </c>
      <c r="Q342">
        <f t="shared" si="41"/>
        <v>0.68468103308483841</v>
      </c>
    </row>
    <row r="343" spans="1:17" x14ac:dyDescent="0.3">
      <c r="A343" s="2" t="s">
        <v>60</v>
      </c>
      <c r="B343" s="2" t="s">
        <v>31</v>
      </c>
      <c r="C343">
        <v>2876418</v>
      </c>
      <c r="D343">
        <v>166200</v>
      </c>
      <c r="E343">
        <v>231.77408402895099</v>
      </c>
      <c r="F343">
        <v>58.682892985054998</v>
      </c>
      <c r="G343">
        <v>-1.88</v>
      </c>
      <c r="H343">
        <v>18.773201762783302</v>
      </c>
      <c r="I343">
        <v>166200</v>
      </c>
      <c r="J343">
        <v>3042618</v>
      </c>
      <c r="K343" s="1">
        <f t="shared" si="35"/>
        <v>5.4624011295535624E-2</v>
      </c>
      <c r="L343" s="1">
        <f t="shared" si="36"/>
        <v>0.57173988047600843</v>
      </c>
      <c r="M343" s="1">
        <f t="shared" si="37"/>
        <v>0.83216518566735798</v>
      </c>
      <c r="N343" s="1">
        <f t="shared" si="38"/>
        <v>0.90832773877946527</v>
      </c>
      <c r="O343" s="1">
        <f t="shared" si="39"/>
        <v>0.14944275582573455</v>
      </c>
      <c r="P343" s="1">
        <f t="shared" si="40"/>
        <v>0.44741267022354136</v>
      </c>
      <c r="Q343">
        <f t="shared" si="41"/>
        <v>0.64950134494426315</v>
      </c>
    </row>
    <row r="344" spans="1:17" x14ac:dyDescent="0.3">
      <c r="A344" s="2" t="s">
        <v>60</v>
      </c>
      <c r="B344" s="2" t="s">
        <v>32</v>
      </c>
      <c r="C344">
        <v>3857735</v>
      </c>
      <c r="D344">
        <v>103531</v>
      </c>
      <c r="E344">
        <v>96.332839046910706</v>
      </c>
      <c r="F344">
        <v>-14.1330233081437</v>
      </c>
      <c r="G344">
        <v>6.01</v>
      </c>
      <c r="H344">
        <v>9.6942338218560096</v>
      </c>
      <c r="I344">
        <v>103531</v>
      </c>
      <c r="J344">
        <v>3961266</v>
      </c>
      <c r="K344" s="1">
        <f t="shared" si="35"/>
        <v>2.6135836371503452E-2</v>
      </c>
      <c r="L344" s="1">
        <f t="shared" si="36"/>
        <v>0.77101767597744031</v>
      </c>
      <c r="M344" s="1">
        <f t="shared" si="37"/>
        <v>0.5159377727990635</v>
      </c>
      <c r="N344" s="1">
        <f t="shared" si="38"/>
        <v>0.22612076726087407</v>
      </c>
      <c r="O344" s="1">
        <f t="shared" si="39"/>
        <v>0.54913880445795338</v>
      </c>
      <c r="P344" s="1">
        <f t="shared" si="40"/>
        <v>0.238857559879773</v>
      </c>
      <c r="Q344">
        <f t="shared" si="41"/>
        <v>0.52286441967781738</v>
      </c>
    </row>
    <row r="345" spans="1:17" x14ac:dyDescent="0.3">
      <c r="A345" s="2" t="s">
        <v>60</v>
      </c>
      <c r="B345" s="2" t="s">
        <v>33</v>
      </c>
      <c r="C345">
        <v>763640</v>
      </c>
      <c r="D345">
        <v>16067</v>
      </c>
      <c r="E345">
        <v>195.32978413686101</v>
      </c>
      <c r="F345">
        <v>-65.729715539387499</v>
      </c>
      <c r="G345">
        <v>8</v>
      </c>
      <c r="H345">
        <v>7.7626982708223604</v>
      </c>
      <c r="I345">
        <v>16067</v>
      </c>
      <c r="J345">
        <v>779707</v>
      </c>
      <c r="K345" s="1">
        <f t="shared" si="35"/>
        <v>2.0606458579953753E-2</v>
      </c>
      <c r="L345" s="1">
        <f t="shared" si="36"/>
        <v>0.14269427928503298</v>
      </c>
      <c r="M345" s="1">
        <f t="shared" si="37"/>
        <v>7.4594932812586723E-2</v>
      </c>
      <c r="N345" s="1">
        <f t="shared" si="38"/>
        <v>0.72476064692502429</v>
      </c>
      <c r="O345" s="1">
        <f t="shared" si="39"/>
        <v>0.64994934143870309</v>
      </c>
      <c r="P345" s="1">
        <f t="shared" si="40"/>
        <v>9.1077316363622929E-2</v>
      </c>
      <c r="Q345">
        <f t="shared" si="41"/>
        <v>0.28764652611814573</v>
      </c>
    </row>
    <row r="346" spans="1:17" x14ac:dyDescent="0.3">
      <c r="A346" s="2" t="s">
        <v>60</v>
      </c>
      <c r="B346" s="2" t="s">
        <v>34</v>
      </c>
      <c r="C346">
        <v>4732339</v>
      </c>
      <c r="D346">
        <v>50211</v>
      </c>
      <c r="E346">
        <v>147.61999351810201</v>
      </c>
      <c r="F346">
        <v>58.862907611243401</v>
      </c>
      <c r="G346">
        <v>5.75</v>
      </c>
      <c r="H346">
        <v>4.0712862263572998</v>
      </c>
      <c r="I346">
        <v>50211</v>
      </c>
      <c r="J346">
        <v>4782550</v>
      </c>
      <c r="K346" s="1">
        <f t="shared" si="35"/>
        <v>1.04987924851805E-2</v>
      </c>
      <c r="L346" s="1">
        <f t="shared" si="36"/>
        <v>0.94862507201433199</v>
      </c>
      <c r="M346" s="1">
        <f t="shared" si="37"/>
        <v>0.2468853600569188</v>
      </c>
      <c r="N346" s="1">
        <f t="shared" si="38"/>
        <v>0.48445015823950183</v>
      </c>
      <c r="O346" s="1">
        <f t="shared" si="39"/>
        <v>0.53596757852076993</v>
      </c>
      <c r="P346" s="1">
        <f t="shared" si="40"/>
        <v>0.4479282576409549</v>
      </c>
      <c r="Q346">
        <f t="shared" si="41"/>
        <v>0.58901973048331868</v>
      </c>
    </row>
    <row r="347" spans="1:17" x14ac:dyDescent="0.3">
      <c r="A347" s="2" t="s">
        <v>60</v>
      </c>
      <c r="B347" s="2" t="s">
        <v>35</v>
      </c>
      <c r="C347">
        <v>952699</v>
      </c>
      <c r="D347">
        <v>69377</v>
      </c>
      <c r="E347">
        <v>180.12359159201401</v>
      </c>
      <c r="F347">
        <v>-58.574134148399501</v>
      </c>
      <c r="G347">
        <v>-3.16</v>
      </c>
      <c r="H347">
        <v>22.557829698579098</v>
      </c>
      <c r="I347">
        <v>69377</v>
      </c>
      <c r="J347">
        <v>1022076</v>
      </c>
      <c r="K347" s="1">
        <f t="shared" si="35"/>
        <v>6.7878513926557318E-2</v>
      </c>
      <c r="L347" s="1">
        <f t="shared" si="36"/>
        <v>0.18108682801261564</v>
      </c>
      <c r="M347" s="1">
        <f t="shared" si="37"/>
        <v>0.34359688561235663</v>
      </c>
      <c r="N347" s="1">
        <f t="shared" si="38"/>
        <v>0.64816824284808139</v>
      </c>
      <c r="O347" s="1">
        <f t="shared" si="39"/>
        <v>8.4599797365754806E-2</v>
      </c>
      <c r="P347" s="1">
        <f t="shared" si="40"/>
        <v>0.11157191620581028</v>
      </c>
      <c r="Q347">
        <f t="shared" si="41"/>
        <v>0.29853043113427741</v>
      </c>
    </row>
    <row r="348" spans="1:17" x14ac:dyDescent="0.3">
      <c r="A348" s="2" t="s">
        <v>60</v>
      </c>
      <c r="B348" s="2" t="s">
        <v>36</v>
      </c>
      <c r="C348">
        <v>1592339</v>
      </c>
      <c r="D348">
        <v>111701</v>
      </c>
      <c r="E348">
        <v>59.857749818079299</v>
      </c>
      <c r="F348">
        <v>-77.048135160981801</v>
      </c>
      <c r="G348">
        <v>-4.4800000000000004</v>
      </c>
      <c r="H348">
        <v>21.911361782866599</v>
      </c>
      <c r="I348">
        <v>111701</v>
      </c>
      <c r="J348">
        <v>1704040</v>
      </c>
      <c r="K348" s="1">
        <f t="shared" si="35"/>
        <v>6.555069129832633E-2</v>
      </c>
      <c r="L348" s="1">
        <f t="shared" si="36"/>
        <v>0.31097966500059804</v>
      </c>
      <c r="M348" s="1">
        <f t="shared" si="37"/>
        <v>0.55716354571923077</v>
      </c>
      <c r="N348" s="1">
        <f t="shared" si="38"/>
        <v>4.2398591922253558E-2</v>
      </c>
      <c r="O348" s="1">
        <f t="shared" si="39"/>
        <v>1.773049645390069E-2</v>
      </c>
      <c r="P348" s="1">
        <f t="shared" si="40"/>
        <v>5.8659757493747744E-2</v>
      </c>
      <c r="Q348">
        <f t="shared" si="41"/>
        <v>0.26425251295923252</v>
      </c>
    </row>
    <row r="349" spans="1:17" x14ac:dyDescent="0.3">
      <c r="A349" s="2" t="s">
        <v>60</v>
      </c>
      <c r="B349" s="2" t="s">
        <v>37</v>
      </c>
      <c r="C349">
        <v>2783324</v>
      </c>
      <c r="D349">
        <v>70324</v>
      </c>
      <c r="E349">
        <v>237.941049491738</v>
      </c>
      <c r="F349">
        <v>52.787413977385597</v>
      </c>
      <c r="G349">
        <v>-2.12</v>
      </c>
      <c r="H349">
        <v>9.1788215178390793</v>
      </c>
      <c r="I349">
        <v>70324</v>
      </c>
      <c r="J349">
        <v>2853648</v>
      </c>
      <c r="K349" s="1">
        <f t="shared" si="35"/>
        <v>2.4643543983000005E-2</v>
      </c>
      <c r="L349" s="1">
        <f t="shared" si="36"/>
        <v>0.55283511566055088</v>
      </c>
      <c r="M349" s="1">
        <f t="shared" si="37"/>
        <v>0.34837544215524507</v>
      </c>
      <c r="N349" s="1">
        <f t="shared" si="38"/>
        <v>0.9393902621074629</v>
      </c>
      <c r="O349" s="1">
        <f t="shared" si="39"/>
        <v>0.13728470111448834</v>
      </c>
      <c r="P349" s="1">
        <f t="shared" si="40"/>
        <v>0.43052718230324855</v>
      </c>
      <c r="Q349">
        <f t="shared" si="41"/>
        <v>0.52524539178327034</v>
      </c>
    </row>
    <row r="350" spans="1:17" x14ac:dyDescent="0.3">
      <c r="A350" s="2" t="s">
        <v>60</v>
      </c>
      <c r="B350" s="2" t="s">
        <v>38</v>
      </c>
      <c r="C350">
        <v>843964</v>
      </c>
      <c r="D350">
        <v>57336</v>
      </c>
      <c r="E350">
        <v>214.91179407522401</v>
      </c>
      <c r="F350">
        <v>-44.634733106257201</v>
      </c>
      <c r="G350">
        <v>-0.2</v>
      </c>
      <c r="H350">
        <v>21.367957753040098</v>
      </c>
      <c r="I350">
        <v>57336</v>
      </c>
      <c r="J350">
        <v>901300</v>
      </c>
      <c r="K350" s="1">
        <f t="shared" si="35"/>
        <v>6.3614778653056703E-2</v>
      </c>
      <c r="L350" s="1">
        <f t="shared" si="36"/>
        <v>0.15900581739744418</v>
      </c>
      <c r="M350" s="1">
        <f t="shared" si="37"/>
        <v>0.28283806899892522</v>
      </c>
      <c r="N350" s="1">
        <f t="shared" si="38"/>
        <v>0.82339370141347801</v>
      </c>
      <c r="O350" s="1">
        <f t="shared" si="39"/>
        <v>0.23454913880445794</v>
      </c>
      <c r="P350" s="1">
        <f t="shared" si="40"/>
        <v>0.15149633754748837</v>
      </c>
      <c r="Q350">
        <f t="shared" si="41"/>
        <v>0.32964484125672699</v>
      </c>
    </row>
    <row r="351" spans="1:17" x14ac:dyDescent="0.3">
      <c r="A351" s="2" t="s">
        <v>60</v>
      </c>
      <c r="B351" s="2" t="s">
        <v>39</v>
      </c>
      <c r="C351">
        <v>1894076</v>
      </c>
      <c r="D351">
        <v>167375</v>
      </c>
      <c r="E351">
        <v>241.96548935676799</v>
      </c>
      <c r="F351">
        <v>42.571993425910499</v>
      </c>
      <c r="G351">
        <v>14.91</v>
      </c>
      <c r="H351">
        <v>26.115863153657202</v>
      </c>
      <c r="I351">
        <v>167375</v>
      </c>
      <c r="J351">
        <v>2061451</v>
      </c>
      <c r="K351" s="1">
        <f t="shared" si="35"/>
        <v>8.1192810306914887E-2</v>
      </c>
      <c r="L351" s="1">
        <f t="shared" si="36"/>
        <v>0.37225393639426141</v>
      </c>
      <c r="M351" s="1">
        <f t="shared" si="37"/>
        <v>0.83809422889639063</v>
      </c>
      <c r="N351" s="1">
        <f t="shared" si="38"/>
        <v>0.95966105135445234</v>
      </c>
      <c r="O351" s="1">
        <f t="shared" si="39"/>
        <v>1</v>
      </c>
      <c r="P351" s="1">
        <f t="shared" si="40"/>
        <v>0.40126876918732535</v>
      </c>
      <c r="Q351">
        <f t="shared" si="41"/>
        <v>0.67187152215171209</v>
      </c>
    </row>
    <row r="352" spans="1:17" x14ac:dyDescent="0.3">
      <c r="A352" s="2" t="s">
        <v>60</v>
      </c>
      <c r="B352" s="2" t="s">
        <v>40</v>
      </c>
      <c r="C352">
        <v>2993185</v>
      </c>
      <c r="D352">
        <v>177619</v>
      </c>
      <c r="E352">
        <v>237.13228569157801</v>
      </c>
      <c r="F352">
        <v>114.915561060429</v>
      </c>
      <c r="G352">
        <v>-4.01</v>
      </c>
      <c r="H352">
        <v>19.183073180833699</v>
      </c>
      <c r="I352">
        <v>177619</v>
      </c>
      <c r="J352">
        <v>3170804</v>
      </c>
      <c r="K352" s="1">
        <f t="shared" si="35"/>
        <v>5.6017022811879889E-2</v>
      </c>
      <c r="L352" s="1">
        <f t="shared" si="36"/>
        <v>0.59545196367370667</v>
      </c>
      <c r="M352" s="1">
        <f t="shared" si="37"/>
        <v>0.88978539386508015</v>
      </c>
      <c r="N352" s="1">
        <f t="shared" si="38"/>
        <v>0.93531658201943524</v>
      </c>
      <c r="O352" s="1">
        <f t="shared" si="39"/>
        <v>4.1540020263424529E-2</v>
      </c>
      <c r="P352" s="1">
        <f t="shared" si="40"/>
        <v>0.60847100598851378</v>
      </c>
      <c r="Q352">
        <f t="shared" si="41"/>
        <v>0.68291895478114817</v>
      </c>
    </row>
    <row r="353" spans="1:17" x14ac:dyDescent="0.3">
      <c r="A353" s="2" t="s">
        <v>60</v>
      </c>
      <c r="B353" s="2" t="s">
        <v>41</v>
      </c>
      <c r="C353">
        <v>730375</v>
      </c>
      <c r="D353">
        <v>40004</v>
      </c>
      <c r="E353">
        <v>121.239026505135</v>
      </c>
      <c r="F353">
        <v>-73.303479979991906</v>
      </c>
      <c r="G353">
        <v>0.94</v>
      </c>
      <c r="H353">
        <v>17.971430528835</v>
      </c>
      <c r="I353">
        <v>40004</v>
      </c>
      <c r="J353">
        <v>770379</v>
      </c>
      <c r="K353" s="1">
        <f t="shared" si="35"/>
        <v>5.1927687540807836E-2</v>
      </c>
      <c r="L353" s="1">
        <f t="shared" si="36"/>
        <v>0.13593909633461518</v>
      </c>
      <c r="M353" s="1">
        <f t="shared" si="37"/>
        <v>0.19538089687501578</v>
      </c>
      <c r="N353" s="1">
        <f t="shared" si="38"/>
        <v>0.35157128803984777</v>
      </c>
      <c r="O353" s="1">
        <f t="shared" si="39"/>
        <v>0.29229989868287737</v>
      </c>
      <c r="P353" s="1">
        <f t="shared" si="40"/>
        <v>6.93849809644803E-2</v>
      </c>
      <c r="Q353">
        <f t="shared" si="41"/>
        <v>0.20290665350857456</v>
      </c>
    </row>
    <row r="354" spans="1:17" x14ac:dyDescent="0.3">
      <c r="A354" s="2" t="s">
        <v>60</v>
      </c>
      <c r="B354" s="2" t="s">
        <v>42</v>
      </c>
      <c r="C354">
        <v>1675286</v>
      </c>
      <c r="D354">
        <v>46559</v>
      </c>
      <c r="E354">
        <v>101.170546710069</v>
      </c>
      <c r="F354">
        <v>-50.208417692875599</v>
      </c>
      <c r="G354">
        <v>4.91</v>
      </c>
      <c r="H354">
        <v>10.004501692700901</v>
      </c>
      <c r="I354">
        <v>46559</v>
      </c>
      <c r="J354">
        <v>1721845</v>
      </c>
      <c r="K354" s="1">
        <f t="shared" si="35"/>
        <v>2.7040180736361288E-2</v>
      </c>
      <c r="L354" s="1">
        <f t="shared" si="36"/>
        <v>0.32782386040682998</v>
      </c>
      <c r="M354" s="1">
        <f t="shared" si="37"/>
        <v>0.22845738910166163</v>
      </c>
      <c r="N354" s="1">
        <f t="shared" si="38"/>
        <v>0.25048792288184557</v>
      </c>
      <c r="O354" s="1">
        <f t="shared" si="39"/>
        <v>0.49341438703140827</v>
      </c>
      <c r="P354" s="1">
        <f t="shared" si="40"/>
        <v>0.1355325144829953</v>
      </c>
      <c r="Q354">
        <f t="shared" si="41"/>
        <v>0.28484497314561541</v>
      </c>
    </row>
    <row r="355" spans="1:17" x14ac:dyDescent="0.3">
      <c r="A355" s="2" t="s">
        <v>60</v>
      </c>
      <c r="B355" s="2" t="s">
        <v>43</v>
      </c>
      <c r="C355">
        <v>3324559</v>
      </c>
      <c r="D355">
        <v>56973</v>
      </c>
      <c r="E355">
        <v>209.875287295817</v>
      </c>
      <c r="F355">
        <v>102.853535955029</v>
      </c>
      <c r="G355">
        <v>14.63</v>
      </c>
      <c r="H355">
        <v>6.4150638530974797</v>
      </c>
      <c r="I355">
        <v>56973</v>
      </c>
      <c r="J355">
        <v>3381532</v>
      </c>
      <c r="K355" s="1">
        <f t="shared" si="35"/>
        <v>1.6848280601810067E-2</v>
      </c>
      <c r="L355" s="1">
        <f t="shared" si="36"/>
        <v>0.66274467357936562</v>
      </c>
      <c r="M355" s="1">
        <f t="shared" si="37"/>
        <v>0.28100637309072191</v>
      </c>
      <c r="N355" s="1">
        <f t="shared" si="38"/>
        <v>0.79802521017236661</v>
      </c>
      <c r="O355" s="1">
        <f t="shared" si="39"/>
        <v>0.98581560283687941</v>
      </c>
      <c r="P355" s="1">
        <f t="shared" si="40"/>
        <v>0.57392365556176417</v>
      </c>
      <c r="Q355">
        <f t="shared" si="41"/>
        <v>0.61779119689979611</v>
      </c>
    </row>
    <row r="356" spans="1:17" x14ac:dyDescent="0.3">
      <c r="A356" s="2" t="s">
        <v>60</v>
      </c>
      <c r="B356" s="2" t="s">
        <v>44</v>
      </c>
      <c r="C356">
        <v>2793678</v>
      </c>
      <c r="D356">
        <v>58341</v>
      </c>
      <c r="E356">
        <v>143.407179264934</v>
      </c>
      <c r="F356">
        <v>16.9044613295857</v>
      </c>
      <c r="G356">
        <v>10.49</v>
      </c>
      <c r="H356">
        <v>7.7093082950286096</v>
      </c>
      <c r="I356">
        <v>58341</v>
      </c>
      <c r="J356">
        <v>2852019</v>
      </c>
      <c r="K356" s="1">
        <f t="shared" si="35"/>
        <v>2.0456034830062492E-2</v>
      </c>
      <c r="L356" s="1">
        <f t="shared" si="36"/>
        <v>0.55493772092941085</v>
      </c>
      <c r="M356" s="1">
        <f t="shared" si="37"/>
        <v>0.28790929320758718</v>
      </c>
      <c r="N356" s="1">
        <f t="shared" si="38"/>
        <v>0.46323054191357987</v>
      </c>
      <c r="O356" s="1">
        <f t="shared" si="39"/>
        <v>0.77608915906788245</v>
      </c>
      <c r="P356" s="1">
        <f t="shared" si="40"/>
        <v>0.32775331733135199</v>
      </c>
      <c r="Q356">
        <f t="shared" si="41"/>
        <v>0.46923588164982999</v>
      </c>
    </row>
    <row r="357" spans="1:17" x14ac:dyDescent="0.3">
      <c r="A357" s="2" t="s">
        <v>60</v>
      </c>
      <c r="B357" s="2" t="s">
        <v>45</v>
      </c>
      <c r="C357">
        <v>3327356</v>
      </c>
      <c r="D357">
        <v>55362</v>
      </c>
      <c r="E357">
        <v>155.555384752734</v>
      </c>
      <c r="F357">
        <v>50.403734845056299</v>
      </c>
      <c r="G357">
        <v>13.32</v>
      </c>
      <c r="H357">
        <v>6.24007412074603</v>
      </c>
      <c r="I357">
        <v>55362</v>
      </c>
      <c r="J357">
        <v>3382718</v>
      </c>
      <c r="K357" s="1">
        <f t="shared" si="35"/>
        <v>1.6366129248728389E-2</v>
      </c>
      <c r="L357" s="1">
        <f t="shared" si="36"/>
        <v>0.66331266536389344</v>
      </c>
      <c r="M357" s="1">
        <f t="shared" si="37"/>
        <v>0.27287727637415038</v>
      </c>
      <c r="N357" s="1">
        <f t="shared" si="38"/>
        <v>0.5244201040467138</v>
      </c>
      <c r="O357" s="1">
        <f t="shared" si="39"/>
        <v>0.9194528875379937</v>
      </c>
      <c r="P357" s="1">
        <f t="shared" si="40"/>
        <v>0.42369998723692054</v>
      </c>
      <c r="Q357">
        <f t="shared" si="41"/>
        <v>0.53957806025773447</v>
      </c>
    </row>
    <row r="358" spans="1:17" x14ac:dyDescent="0.3">
      <c r="A358" s="2" t="s">
        <v>60</v>
      </c>
      <c r="B358" s="2" t="s">
        <v>46</v>
      </c>
      <c r="C358">
        <v>554128</v>
      </c>
      <c r="D358">
        <v>160025</v>
      </c>
      <c r="E358">
        <v>206.81842686371101</v>
      </c>
      <c r="F358">
        <v>-57.782912131100602</v>
      </c>
      <c r="G358">
        <v>5.78</v>
      </c>
      <c r="H358">
        <v>53.599480166266403</v>
      </c>
      <c r="I358">
        <v>160025</v>
      </c>
      <c r="J358">
        <v>714153</v>
      </c>
      <c r="K358" s="1">
        <f t="shared" si="35"/>
        <v>0.22407663343849288</v>
      </c>
      <c r="L358" s="1">
        <f t="shared" si="36"/>
        <v>0.10014830332507711</v>
      </c>
      <c r="M358" s="1">
        <f t="shared" si="37"/>
        <v>0.80100617125095241</v>
      </c>
      <c r="N358" s="1">
        <f t="shared" si="38"/>
        <v>0.78262804295038357</v>
      </c>
      <c r="O358" s="1">
        <f t="shared" si="39"/>
        <v>0.53748733535967574</v>
      </c>
      <c r="P358" s="1">
        <f t="shared" si="40"/>
        <v>0.11383808826714577</v>
      </c>
      <c r="Q358">
        <f t="shared" si="41"/>
        <v>0.45696159992927399</v>
      </c>
    </row>
    <row r="359" spans="1:17" x14ac:dyDescent="0.3">
      <c r="A359" s="2" t="s">
        <v>60</v>
      </c>
      <c r="B359" s="2" t="s">
        <v>47</v>
      </c>
      <c r="C359">
        <v>163606</v>
      </c>
      <c r="D359">
        <v>94397</v>
      </c>
      <c r="E359">
        <v>189.14508746022301</v>
      </c>
      <c r="F359">
        <v>-86.051497034513901</v>
      </c>
      <c r="G359">
        <v>11.52</v>
      </c>
      <c r="H359">
        <v>69.769435729147006</v>
      </c>
      <c r="I359">
        <v>94397</v>
      </c>
      <c r="J359">
        <v>258003</v>
      </c>
      <c r="K359" s="1">
        <f t="shared" si="35"/>
        <v>0.36587559059390784</v>
      </c>
      <c r="L359" s="1">
        <f t="shared" si="36"/>
        <v>2.0844303440421885E-2</v>
      </c>
      <c r="M359" s="1">
        <f t="shared" si="37"/>
        <v>0.46984766143397066</v>
      </c>
      <c r="N359" s="1">
        <f t="shared" si="38"/>
        <v>0.69360881285786269</v>
      </c>
      <c r="O359" s="1">
        <f t="shared" si="39"/>
        <v>0.82826747720364735</v>
      </c>
      <c r="P359" s="1">
        <f t="shared" si="40"/>
        <v>3.287285231440925E-2</v>
      </c>
      <c r="Q359">
        <f t="shared" si="41"/>
        <v>0.34959321708601859</v>
      </c>
    </row>
    <row r="360" spans="1:17" x14ac:dyDescent="0.3">
      <c r="A360" s="2" t="s">
        <v>60</v>
      </c>
      <c r="B360" s="2" t="s">
        <v>48</v>
      </c>
      <c r="C360">
        <v>1645330</v>
      </c>
      <c r="D360">
        <v>8375</v>
      </c>
      <c r="E360">
        <v>72.745743648353198</v>
      </c>
      <c r="F360">
        <v>-65.614653550246501</v>
      </c>
      <c r="G360">
        <v>4.28</v>
      </c>
      <c r="H360">
        <v>1.9954372985948501</v>
      </c>
      <c r="I360">
        <v>8375</v>
      </c>
      <c r="J360">
        <v>1653705</v>
      </c>
      <c r="K360" s="1">
        <f t="shared" si="35"/>
        <v>5.0643857278051402E-3</v>
      </c>
      <c r="L360" s="1">
        <f t="shared" si="36"/>
        <v>0.32174064199520469</v>
      </c>
      <c r="M360" s="1">
        <f t="shared" si="37"/>
        <v>3.5781145137932249E-2</v>
      </c>
      <c r="N360" s="1">
        <f t="shared" si="38"/>
        <v>0.10731441015079476</v>
      </c>
      <c r="O360" s="1">
        <f t="shared" si="39"/>
        <v>0.46149949341438695</v>
      </c>
      <c r="P360" s="1">
        <f t="shared" si="40"/>
        <v>9.1406870217550271E-2</v>
      </c>
      <c r="Q360">
        <f t="shared" si="41"/>
        <v>0.19830802937615738</v>
      </c>
    </row>
    <row r="361" spans="1:17" x14ac:dyDescent="0.3">
      <c r="A361" s="2" t="s">
        <v>60</v>
      </c>
      <c r="B361" s="2" t="s">
        <v>49</v>
      </c>
      <c r="C361">
        <v>3135545</v>
      </c>
      <c r="D361">
        <v>172838</v>
      </c>
      <c r="E361">
        <v>158.56688902101101</v>
      </c>
      <c r="F361">
        <v>49.946406878974798</v>
      </c>
      <c r="G361">
        <v>-1.32</v>
      </c>
      <c r="H361">
        <v>18.0656024972712</v>
      </c>
      <c r="I361">
        <v>172838</v>
      </c>
      <c r="J361">
        <v>3308383</v>
      </c>
      <c r="K361" s="1">
        <f t="shared" si="35"/>
        <v>5.2242439886796659E-2</v>
      </c>
      <c r="L361" s="1">
        <f t="shared" si="36"/>
        <v>0.62436126308213824</v>
      </c>
      <c r="M361" s="1">
        <f t="shared" si="37"/>
        <v>0.86566049541571422</v>
      </c>
      <c r="N361" s="1">
        <f t="shared" si="38"/>
        <v>0.53958881581430718</v>
      </c>
      <c r="O361" s="1">
        <f t="shared" si="39"/>
        <v>0.17781155015197567</v>
      </c>
      <c r="P361" s="1">
        <f t="shared" si="40"/>
        <v>0.42239013508803913</v>
      </c>
      <c r="Q361">
        <f t="shared" si="41"/>
        <v>0.60287949761953985</v>
      </c>
    </row>
    <row r="362" spans="1:17" x14ac:dyDescent="0.3">
      <c r="A362" s="2" t="s">
        <v>61</v>
      </c>
      <c r="B362" s="2" t="s">
        <v>14</v>
      </c>
      <c r="C362">
        <v>3441012</v>
      </c>
      <c r="D362">
        <v>92828</v>
      </c>
      <c r="E362">
        <v>196.30203970751299</v>
      </c>
      <c r="F362">
        <v>32.087207641775798</v>
      </c>
      <c r="G362">
        <v>2.84</v>
      </c>
      <c r="H362">
        <v>9.7397807741419609</v>
      </c>
      <c r="I362">
        <v>92828</v>
      </c>
      <c r="J362">
        <v>3533840</v>
      </c>
      <c r="K362" s="1">
        <f t="shared" si="35"/>
        <v>2.6268308695356891E-2</v>
      </c>
      <c r="L362" s="1">
        <f t="shared" si="36"/>
        <v>0.68639299223636252</v>
      </c>
      <c r="M362" s="1">
        <f t="shared" si="37"/>
        <v>0.46193049647537304</v>
      </c>
      <c r="N362" s="1">
        <f t="shared" si="38"/>
        <v>0.72965782229050857</v>
      </c>
      <c r="O362" s="1">
        <f t="shared" si="39"/>
        <v>0.38855116514690979</v>
      </c>
      <c r="P362" s="1">
        <f t="shared" si="40"/>
        <v>0.37123885584617816</v>
      </c>
      <c r="Q362">
        <f t="shared" si="41"/>
        <v>0.57763073795898057</v>
      </c>
    </row>
    <row r="363" spans="1:17" x14ac:dyDescent="0.3">
      <c r="A363" s="2" t="s">
        <v>61</v>
      </c>
      <c r="B363" s="2" t="s">
        <v>15</v>
      </c>
      <c r="C363">
        <v>3588599</v>
      </c>
      <c r="D363">
        <v>1284</v>
      </c>
      <c r="E363">
        <v>228.80968544100099</v>
      </c>
      <c r="F363">
        <v>56.402526101996102</v>
      </c>
      <c r="G363">
        <v>8.24</v>
      </c>
      <c r="H363">
        <v>0.14291537912506</v>
      </c>
      <c r="I363">
        <v>1284</v>
      </c>
      <c r="J363">
        <v>3589883</v>
      </c>
      <c r="K363" s="1">
        <f t="shared" si="35"/>
        <v>3.5767182384495542E-4</v>
      </c>
      <c r="L363" s="1">
        <f t="shared" si="36"/>
        <v>0.71636374786850776</v>
      </c>
      <c r="M363" s="1">
        <f t="shared" si="37"/>
        <v>0</v>
      </c>
      <c r="N363" s="1">
        <f t="shared" si="38"/>
        <v>0.89339629464420556</v>
      </c>
      <c r="O363" s="1">
        <f t="shared" si="39"/>
        <v>0.66210739614994929</v>
      </c>
      <c r="P363" s="1">
        <f t="shared" si="40"/>
        <v>0.4408813760899119</v>
      </c>
      <c r="Q363">
        <f t="shared" si="41"/>
        <v>0.53970544790680497</v>
      </c>
    </row>
    <row r="364" spans="1:17" x14ac:dyDescent="0.3">
      <c r="A364" s="2" t="s">
        <v>61</v>
      </c>
      <c r="B364" s="2" t="s">
        <v>16</v>
      </c>
      <c r="C364">
        <v>3425279</v>
      </c>
      <c r="D364">
        <v>185372</v>
      </c>
      <c r="E364">
        <v>105.659616506829</v>
      </c>
      <c r="F364">
        <v>-27.3587001364602</v>
      </c>
      <c r="G364">
        <v>11.34</v>
      </c>
      <c r="H364">
        <v>17.795283489573499</v>
      </c>
      <c r="I364">
        <v>185372</v>
      </c>
      <c r="J364">
        <v>3610651</v>
      </c>
      <c r="K364" s="1">
        <f t="shared" si="35"/>
        <v>5.1340326162788927E-2</v>
      </c>
      <c r="L364" s="1">
        <f t="shared" si="36"/>
        <v>0.6831980638323667</v>
      </c>
      <c r="M364" s="1">
        <f t="shared" si="37"/>
        <v>0.92890698718822062</v>
      </c>
      <c r="N364" s="1">
        <f t="shared" si="38"/>
        <v>0.27309901680223375</v>
      </c>
      <c r="O364" s="1">
        <f t="shared" si="39"/>
        <v>0.81914893617021278</v>
      </c>
      <c r="P364" s="1">
        <f t="shared" si="40"/>
        <v>0.20097734590026148</v>
      </c>
      <c r="Q364">
        <f t="shared" si="41"/>
        <v>0.6279785007058778</v>
      </c>
    </row>
    <row r="365" spans="1:17" x14ac:dyDescent="0.3">
      <c r="A365" s="2" t="s">
        <v>61</v>
      </c>
      <c r="B365" s="2" t="s">
        <v>17</v>
      </c>
      <c r="C365">
        <v>4245944</v>
      </c>
      <c r="D365">
        <v>118042</v>
      </c>
      <c r="E365">
        <v>152.54402740980299</v>
      </c>
      <c r="F365">
        <v>26.755736092158202</v>
      </c>
      <c r="G365">
        <v>4.91</v>
      </c>
      <c r="H365">
        <v>10.0075623469726</v>
      </c>
      <c r="I365">
        <v>118042</v>
      </c>
      <c r="J365">
        <v>4363986</v>
      </c>
      <c r="K365" s="1">
        <f t="shared" si="35"/>
        <v>2.7049124355577676E-2</v>
      </c>
      <c r="L365" s="1">
        <f t="shared" si="36"/>
        <v>0.8498519708218335</v>
      </c>
      <c r="M365" s="1">
        <f t="shared" si="37"/>
        <v>0.58916019517905716</v>
      </c>
      <c r="N365" s="1">
        <f t="shared" si="38"/>
        <v>0.50925213233061173</v>
      </c>
      <c r="O365" s="1">
        <f t="shared" si="39"/>
        <v>0.49341438703140827</v>
      </c>
      <c r="P365" s="1">
        <f t="shared" si="40"/>
        <v>0.35596876526806898</v>
      </c>
      <c r="Q365">
        <f t="shared" si="41"/>
        <v>0.63152698027847598</v>
      </c>
    </row>
    <row r="366" spans="1:17" x14ac:dyDescent="0.3">
      <c r="A366" s="2" t="s">
        <v>61</v>
      </c>
      <c r="B366" s="2" t="s">
        <v>18</v>
      </c>
      <c r="C366">
        <v>224955</v>
      </c>
      <c r="D366">
        <v>170032</v>
      </c>
      <c r="E366">
        <v>61.267839194707598</v>
      </c>
      <c r="F366">
        <v>-95.392085303544704</v>
      </c>
      <c r="G366">
        <v>-3.34</v>
      </c>
      <c r="H366">
        <v>75.145373407742696</v>
      </c>
      <c r="I366">
        <v>170032</v>
      </c>
      <c r="J366">
        <v>394987</v>
      </c>
      <c r="K366" s="1">
        <f t="shared" si="35"/>
        <v>0.43047492702291468</v>
      </c>
      <c r="L366" s="1">
        <f t="shared" si="36"/>
        <v>3.3302554419684806E-2</v>
      </c>
      <c r="M366" s="1">
        <f t="shared" si="37"/>
        <v>0.85150143558536051</v>
      </c>
      <c r="N366" s="1">
        <f t="shared" si="38"/>
        <v>4.9501101968788416E-2</v>
      </c>
      <c r="O366" s="1">
        <f t="shared" si="39"/>
        <v>7.5481256332320168E-2</v>
      </c>
      <c r="P366" s="1">
        <f t="shared" si="40"/>
        <v>6.1200829160328015E-3</v>
      </c>
      <c r="Q366">
        <f t="shared" si="41"/>
        <v>0.24259160726182277</v>
      </c>
    </row>
    <row r="367" spans="1:17" x14ac:dyDescent="0.3">
      <c r="A367" s="2" t="s">
        <v>61</v>
      </c>
      <c r="B367" s="2" t="s">
        <v>19</v>
      </c>
      <c r="C367">
        <v>4429980</v>
      </c>
      <c r="D367">
        <v>134283</v>
      </c>
      <c r="E367">
        <v>77.339977998638503</v>
      </c>
      <c r="F367">
        <v>-32.785376535178202</v>
      </c>
      <c r="G367">
        <v>5.08</v>
      </c>
      <c r="H367">
        <v>10.8137686446369</v>
      </c>
      <c r="I367">
        <v>134283</v>
      </c>
      <c r="J367">
        <v>4564263</v>
      </c>
      <c r="K367" s="1">
        <f t="shared" si="35"/>
        <v>2.9420521998841872E-2</v>
      </c>
      <c r="L367" s="1">
        <f t="shared" si="36"/>
        <v>0.88722448996997993</v>
      </c>
      <c r="M367" s="1">
        <f t="shared" si="37"/>
        <v>0.67111218758988178</v>
      </c>
      <c r="N367" s="1">
        <f t="shared" si="38"/>
        <v>0.13045520971277769</v>
      </c>
      <c r="O367" s="1">
        <f t="shared" si="39"/>
        <v>0.50202634245187427</v>
      </c>
      <c r="P367" s="1">
        <f t="shared" si="40"/>
        <v>0.18543457513325723</v>
      </c>
      <c r="Q367">
        <f t="shared" si="41"/>
        <v>0.57314375208803214</v>
      </c>
    </row>
    <row r="368" spans="1:17" x14ac:dyDescent="0.3">
      <c r="A368" s="2" t="s">
        <v>61</v>
      </c>
      <c r="B368" s="2" t="s">
        <v>20</v>
      </c>
      <c r="C368">
        <v>3950099</v>
      </c>
      <c r="D368">
        <v>192627</v>
      </c>
      <c r="E368">
        <v>249.93204957315501</v>
      </c>
      <c r="F368">
        <v>97.150201516930593</v>
      </c>
      <c r="G368">
        <v>12.63</v>
      </c>
      <c r="H368">
        <v>16.3222229683597</v>
      </c>
      <c r="I368">
        <v>192627</v>
      </c>
      <c r="J368">
        <v>4142726</v>
      </c>
      <c r="K368" s="1">
        <f t="shared" si="35"/>
        <v>4.6497644304740404E-2</v>
      </c>
      <c r="L368" s="1">
        <f t="shared" si="36"/>
        <v>0.78977419838935647</v>
      </c>
      <c r="M368" s="1">
        <f t="shared" si="37"/>
        <v>0.96551567538109873</v>
      </c>
      <c r="N368" s="1">
        <f t="shared" si="38"/>
        <v>0.99978799288812292</v>
      </c>
      <c r="O368" s="1">
        <f t="shared" si="39"/>
        <v>0.88449848024316102</v>
      </c>
      <c r="P368" s="1">
        <f t="shared" si="40"/>
        <v>0.55758849693688906</v>
      </c>
      <c r="Q368">
        <f t="shared" si="41"/>
        <v>0.86196618457717911</v>
      </c>
    </row>
    <row r="369" spans="1:17" x14ac:dyDescent="0.3">
      <c r="A369" s="2" t="s">
        <v>61</v>
      </c>
      <c r="B369" s="2" t="s">
        <v>21</v>
      </c>
      <c r="C369">
        <v>3352888</v>
      </c>
      <c r="D369">
        <v>44590</v>
      </c>
      <c r="E369">
        <v>166.71189629483899</v>
      </c>
      <c r="F369">
        <v>7.8480530608358796</v>
      </c>
      <c r="G369">
        <v>2.76</v>
      </c>
      <c r="H369">
        <v>5.0509055155571003</v>
      </c>
      <c r="I369">
        <v>44590</v>
      </c>
      <c r="J369">
        <v>3397478</v>
      </c>
      <c r="K369" s="1">
        <f t="shared" si="35"/>
        <v>1.3124441129567285E-2</v>
      </c>
      <c r="L369" s="1">
        <f t="shared" si="36"/>
        <v>0.6684974941957007</v>
      </c>
      <c r="M369" s="1">
        <f t="shared" si="37"/>
        <v>0.21852182644807419</v>
      </c>
      <c r="N369" s="1">
        <f t="shared" si="38"/>
        <v>0.58061458123762333</v>
      </c>
      <c r="O369" s="1">
        <f t="shared" si="39"/>
        <v>0.38449848024316102</v>
      </c>
      <c r="P369" s="1">
        <f t="shared" si="40"/>
        <v>0.30181447975356063</v>
      </c>
      <c r="Q369">
        <f t="shared" si="41"/>
        <v>0.47335879182771062</v>
      </c>
    </row>
    <row r="370" spans="1:17" x14ac:dyDescent="0.3">
      <c r="A370" s="2" t="s">
        <v>61</v>
      </c>
      <c r="B370" s="2" t="s">
        <v>22</v>
      </c>
      <c r="C370">
        <v>3327290</v>
      </c>
      <c r="D370">
        <v>185289</v>
      </c>
      <c r="E370">
        <v>178.84295271366099</v>
      </c>
      <c r="F370">
        <v>19.615372409634698</v>
      </c>
      <c r="G370">
        <v>0.88</v>
      </c>
      <c r="H370">
        <v>18.217176779536899</v>
      </c>
      <c r="I370">
        <v>185289</v>
      </c>
      <c r="J370">
        <v>3512579</v>
      </c>
      <c r="K370" s="1">
        <f t="shared" si="35"/>
        <v>5.2750130317353719E-2</v>
      </c>
      <c r="L370" s="1">
        <f t="shared" si="36"/>
        <v>0.663299262626039</v>
      </c>
      <c r="M370" s="1">
        <f t="shared" si="37"/>
        <v>0.92848816966651027</v>
      </c>
      <c r="N370" s="1">
        <f t="shared" si="38"/>
        <v>0.64171776484984666</v>
      </c>
      <c r="O370" s="1">
        <f t="shared" si="39"/>
        <v>0.28926038500506585</v>
      </c>
      <c r="P370" s="1">
        <f t="shared" si="40"/>
        <v>0.33551775110095866</v>
      </c>
      <c r="Q370">
        <f t="shared" si="41"/>
        <v>0.65509815091631296</v>
      </c>
    </row>
    <row r="371" spans="1:17" x14ac:dyDescent="0.3">
      <c r="A371" s="2" t="s">
        <v>61</v>
      </c>
      <c r="B371" s="2" t="s">
        <v>23</v>
      </c>
      <c r="C371">
        <v>1257837</v>
      </c>
      <c r="D371">
        <v>107632</v>
      </c>
      <c r="E371">
        <v>65.6184798043749</v>
      </c>
      <c r="F371">
        <v>-82.939291041223697</v>
      </c>
      <c r="G371">
        <v>2.73</v>
      </c>
      <c r="H371">
        <v>25.499699413337702</v>
      </c>
      <c r="I371">
        <v>107632</v>
      </c>
      <c r="J371">
        <v>1365469</v>
      </c>
      <c r="K371" s="1">
        <f t="shared" si="35"/>
        <v>7.8824198865005357E-2</v>
      </c>
      <c r="L371" s="1">
        <f t="shared" si="36"/>
        <v>0.24305174654935344</v>
      </c>
      <c r="M371" s="1">
        <f t="shared" si="37"/>
        <v>0.53663139516694669</v>
      </c>
      <c r="N371" s="1">
        <f t="shared" si="38"/>
        <v>7.1414938886637871E-2</v>
      </c>
      <c r="O371" s="1">
        <f t="shared" si="39"/>
        <v>0.38297872340425532</v>
      </c>
      <c r="P371" s="1">
        <f t="shared" si="40"/>
        <v>4.1786651623473232E-2</v>
      </c>
      <c r="Q371">
        <f t="shared" si="41"/>
        <v>0.27598548536411077</v>
      </c>
    </row>
    <row r="372" spans="1:17" x14ac:dyDescent="0.3">
      <c r="A372" s="2" t="s">
        <v>61</v>
      </c>
      <c r="B372" s="2" t="s">
        <v>24</v>
      </c>
      <c r="C372">
        <v>4869094</v>
      </c>
      <c r="D372">
        <v>168682</v>
      </c>
      <c r="E372">
        <v>197.21003871549601</v>
      </c>
      <c r="F372">
        <v>89.172035162324207</v>
      </c>
      <c r="G372">
        <v>8.82</v>
      </c>
      <c r="H372">
        <v>12.1708092359386</v>
      </c>
      <c r="I372">
        <v>168682</v>
      </c>
      <c r="J372">
        <v>5037776</v>
      </c>
      <c r="K372" s="1">
        <f t="shared" si="35"/>
        <v>3.3483426019735696E-2</v>
      </c>
      <c r="L372" s="1">
        <f t="shared" si="36"/>
        <v>0.97639615406406555</v>
      </c>
      <c r="M372" s="1">
        <f t="shared" si="37"/>
        <v>0.84468934336476986</v>
      </c>
      <c r="N372" s="1">
        <f t="shared" si="38"/>
        <v>0.73423134236897603</v>
      </c>
      <c r="O372" s="1">
        <f t="shared" si="39"/>
        <v>0.6914893617021276</v>
      </c>
      <c r="P372" s="1">
        <f t="shared" si="40"/>
        <v>0.53473789710750419</v>
      </c>
      <c r="Q372">
        <f t="shared" si="41"/>
        <v>0.82237998411837387</v>
      </c>
    </row>
    <row r="373" spans="1:17" x14ac:dyDescent="0.3">
      <c r="A373" s="2" t="s">
        <v>61</v>
      </c>
      <c r="B373" s="2" t="s">
        <v>25</v>
      </c>
      <c r="C373">
        <v>622282</v>
      </c>
      <c r="D373">
        <v>7778</v>
      </c>
      <c r="E373">
        <v>78.722661333841202</v>
      </c>
      <c r="F373">
        <v>-90.555678969248802</v>
      </c>
      <c r="G373">
        <v>2.09</v>
      </c>
      <c r="H373">
        <v>4.7615986678787898</v>
      </c>
      <c r="I373">
        <v>7778</v>
      </c>
      <c r="J373">
        <v>630060</v>
      </c>
      <c r="K373" s="1">
        <f t="shared" si="35"/>
        <v>1.2344856045455987E-2</v>
      </c>
      <c r="L373" s="1">
        <f t="shared" si="36"/>
        <v>0.11398845780584591</v>
      </c>
      <c r="M373" s="1">
        <f t="shared" si="37"/>
        <v>3.2768686578159928E-2</v>
      </c>
      <c r="N373" s="1">
        <f t="shared" si="38"/>
        <v>0.13741967766936608</v>
      </c>
      <c r="O373" s="1">
        <f t="shared" si="39"/>
        <v>0.35055724417426543</v>
      </c>
      <c r="P373" s="1">
        <f t="shared" si="40"/>
        <v>1.99722365118888E-2</v>
      </c>
      <c r="Q373">
        <f t="shared" si="41"/>
        <v>0.11262501547907469</v>
      </c>
    </row>
    <row r="374" spans="1:17" x14ac:dyDescent="0.3">
      <c r="A374" s="2" t="s">
        <v>61</v>
      </c>
      <c r="B374" s="2" t="s">
        <v>26</v>
      </c>
      <c r="C374">
        <v>4534852</v>
      </c>
      <c r="D374">
        <v>16015</v>
      </c>
      <c r="E374">
        <v>247.24959002317499</v>
      </c>
      <c r="F374">
        <v>251.615843337413</v>
      </c>
      <c r="G374">
        <v>-1.85</v>
      </c>
      <c r="H374">
        <v>1.39293815580728</v>
      </c>
      <c r="I374">
        <v>16015</v>
      </c>
      <c r="J374">
        <v>4550867</v>
      </c>
      <c r="K374" s="1">
        <f t="shared" si="35"/>
        <v>3.519109655368966E-3</v>
      </c>
      <c r="L374" s="1">
        <f t="shared" si="36"/>
        <v>0.90852103427709596</v>
      </c>
      <c r="M374" s="1">
        <f t="shared" si="37"/>
        <v>7.4332541112238054E-2</v>
      </c>
      <c r="N374" s="1">
        <f t="shared" si="38"/>
        <v>0.98627665366456763</v>
      </c>
      <c r="O374" s="1">
        <f t="shared" si="39"/>
        <v>0.15096251266464031</v>
      </c>
      <c r="P374" s="1">
        <f t="shared" si="40"/>
        <v>1</v>
      </c>
      <c r="Q374">
        <f t="shared" si="41"/>
        <v>0.64891707927442066</v>
      </c>
    </row>
    <row r="375" spans="1:17" x14ac:dyDescent="0.3">
      <c r="A375" s="2" t="s">
        <v>61</v>
      </c>
      <c r="B375" s="2" t="s">
        <v>27</v>
      </c>
      <c r="C375">
        <v>3810886</v>
      </c>
      <c r="D375">
        <v>172851</v>
      </c>
      <c r="E375">
        <v>219.29158476074099</v>
      </c>
      <c r="F375">
        <v>172.99289081013501</v>
      </c>
      <c r="G375">
        <v>0.76</v>
      </c>
      <c r="H375">
        <v>15.3567184699341</v>
      </c>
      <c r="I375">
        <v>172851</v>
      </c>
      <c r="J375">
        <v>3983737</v>
      </c>
      <c r="K375" s="1">
        <f t="shared" si="35"/>
        <v>4.3389159475136031E-2</v>
      </c>
      <c r="L375" s="1">
        <f t="shared" si="36"/>
        <v>0.76150396589043834</v>
      </c>
      <c r="M375" s="1">
        <f t="shared" si="37"/>
        <v>0.86572609334080142</v>
      </c>
      <c r="N375" s="1">
        <f t="shared" si="38"/>
        <v>0.84545436498643967</v>
      </c>
      <c r="O375" s="1">
        <f t="shared" si="39"/>
        <v>0.28318135764944274</v>
      </c>
      <c r="P375" s="1">
        <f t="shared" si="40"/>
        <v>0.77481271438163746</v>
      </c>
      <c r="Q375">
        <f t="shared" si="41"/>
        <v>0.7578481915972497</v>
      </c>
    </row>
    <row r="376" spans="1:17" x14ac:dyDescent="0.3">
      <c r="A376" s="2" t="s">
        <v>61</v>
      </c>
      <c r="B376" s="2" t="s">
        <v>28</v>
      </c>
      <c r="C376">
        <v>2292145</v>
      </c>
      <c r="D376">
        <v>18628</v>
      </c>
      <c r="E376">
        <v>212.0069777516</v>
      </c>
      <c r="F376">
        <v>53.089763287414399</v>
      </c>
      <c r="G376">
        <v>1.71</v>
      </c>
      <c r="H376">
        <v>3.14840722588866</v>
      </c>
      <c r="I376">
        <v>18628</v>
      </c>
      <c r="J376">
        <v>2310773</v>
      </c>
      <c r="K376" s="1">
        <f t="shared" si="35"/>
        <v>8.0613716708651181E-3</v>
      </c>
      <c r="L376" s="1">
        <f t="shared" si="36"/>
        <v>0.45309051904539205</v>
      </c>
      <c r="M376" s="1">
        <f t="shared" si="37"/>
        <v>8.7517724054759133E-2</v>
      </c>
      <c r="N376" s="1">
        <f t="shared" si="38"/>
        <v>0.80876236848959593</v>
      </c>
      <c r="O376" s="1">
        <f t="shared" si="39"/>
        <v>0.33130699088145893</v>
      </c>
      <c r="P376" s="1">
        <f t="shared" si="40"/>
        <v>0.43139315360355479</v>
      </c>
      <c r="Q376">
        <f t="shared" si="41"/>
        <v>0.41848360082599761</v>
      </c>
    </row>
    <row r="377" spans="1:17" x14ac:dyDescent="0.3">
      <c r="A377" s="2" t="s">
        <v>61</v>
      </c>
      <c r="B377" s="2" t="s">
        <v>29</v>
      </c>
      <c r="C377">
        <v>4111698</v>
      </c>
      <c r="D377">
        <v>152621</v>
      </c>
      <c r="E377">
        <v>56.1637157070097</v>
      </c>
      <c r="F377">
        <v>-25.158199005234199</v>
      </c>
      <c r="G377">
        <v>14.02</v>
      </c>
      <c r="H377">
        <v>12.9280065867855</v>
      </c>
      <c r="I377">
        <v>152621</v>
      </c>
      <c r="J377">
        <v>4264319</v>
      </c>
      <c r="K377" s="1">
        <f t="shared" si="35"/>
        <v>3.5790239895279879E-2</v>
      </c>
      <c r="L377" s="1">
        <f t="shared" si="36"/>
        <v>0.82259039588235405</v>
      </c>
      <c r="M377" s="1">
        <f t="shared" si="37"/>
        <v>0.7636456299166906</v>
      </c>
      <c r="N377" s="1">
        <f t="shared" si="38"/>
        <v>2.3792030649626966E-2</v>
      </c>
      <c r="O377" s="1">
        <f t="shared" si="39"/>
        <v>0.95491388044579528</v>
      </c>
      <c r="P377" s="1">
        <f t="shared" si="40"/>
        <v>0.20727989319481901</v>
      </c>
      <c r="Q377">
        <f t="shared" si="41"/>
        <v>0.59979582953198352</v>
      </c>
    </row>
    <row r="378" spans="1:17" x14ac:dyDescent="0.3">
      <c r="A378" s="2" t="s">
        <v>61</v>
      </c>
      <c r="B378" s="2" t="s">
        <v>30</v>
      </c>
      <c r="C378">
        <v>4176120</v>
      </c>
      <c r="D378">
        <v>8022</v>
      </c>
      <c r="E378">
        <v>75.188652775168705</v>
      </c>
      <c r="F378">
        <v>-1.6900601546834599</v>
      </c>
      <c r="G378">
        <v>-1.05</v>
      </c>
      <c r="H378">
        <v>0.76250983791675697</v>
      </c>
      <c r="I378">
        <v>8022</v>
      </c>
      <c r="J378">
        <v>4184142</v>
      </c>
      <c r="K378" s="1">
        <f t="shared" si="35"/>
        <v>1.9172389464793499E-3</v>
      </c>
      <c r="L378" s="1">
        <f t="shared" si="36"/>
        <v>0.83567268645899062</v>
      </c>
      <c r="M378" s="1">
        <f t="shared" si="37"/>
        <v>3.3999909172103729E-2</v>
      </c>
      <c r="N378" s="1">
        <f t="shared" si="38"/>
        <v>0.11961915260440203</v>
      </c>
      <c r="O378" s="1">
        <f t="shared" si="39"/>
        <v>0.19148936170212766</v>
      </c>
      <c r="P378" s="1">
        <f t="shared" si="40"/>
        <v>0.27449597089727923</v>
      </c>
      <c r="Q378">
        <f t="shared" si="41"/>
        <v>0.3715077813344938</v>
      </c>
    </row>
    <row r="379" spans="1:17" x14ac:dyDescent="0.3">
      <c r="A379" s="2" t="s">
        <v>61</v>
      </c>
      <c r="B379" s="2" t="s">
        <v>31</v>
      </c>
      <c r="C379">
        <v>212061</v>
      </c>
      <c r="D379">
        <v>123140</v>
      </c>
      <c r="E379">
        <v>220.76306454933001</v>
      </c>
      <c r="F379">
        <v>-76.875602197859394</v>
      </c>
      <c r="G379">
        <v>9.42</v>
      </c>
      <c r="H379">
        <v>69.904246396289594</v>
      </c>
      <c r="I379">
        <v>123140</v>
      </c>
      <c r="J379">
        <v>335201</v>
      </c>
      <c r="K379" s="1">
        <f t="shared" si="35"/>
        <v>0.36736167254870961</v>
      </c>
      <c r="L379" s="1">
        <f t="shared" si="36"/>
        <v>3.0684146815215033E-2</v>
      </c>
      <c r="M379" s="1">
        <f t="shared" si="37"/>
        <v>0.61488467380170253</v>
      </c>
      <c r="N379" s="1">
        <f t="shared" si="38"/>
        <v>0.85286609374275202</v>
      </c>
      <c r="O379" s="1">
        <f t="shared" si="39"/>
        <v>0.72188449848024305</v>
      </c>
      <c r="P379" s="1">
        <f t="shared" si="40"/>
        <v>5.9153916367160039E-2</v>
      </c>
      <c r="Q379">
        <f t="shared" si="41"/>
        <v>0.41313768006904161</v>
      </c>
    </row>
    <row r="380" spans="1:17" x14ac:dyDescent="0.3">
      <c r="A380" s="2" t="s">
        <v>61</v>
      </c>
      <c r="B380" s="2" t="s">
        <v>32</v>
      </c>
      <c r="C380">
        <v>60961</v>
      </c>
      <c r="D380">
        <v>73428</v>
      </c>
      <c r="E380">
        <v>231.41774996465401</v>
      </c>
      <c r="F380">
        <v>-90.281503085857096</v>
      </c>
      <c r="G380">
        <v>6.8</v>
      </c>
      <c r="H380">
        <v>82.812055047889103</v>
      </c>
      <c r="I380">
        <v>73428</v>
      </c>
      <c r="J380">
        <v>134389</v>
      </c>
      <c r="K380" s="1">
        <f t="shared" si="35"/>
        <v>0.54638400464323722</v>
      </c>
      <c r="L380" s="1">
        <f t="shared" si="36"/>
        <v>0</v>
      </c>
      <c r="M380" s="1">
        <f t="shared" si="37"/>
        <v>0.36403820826836614</v>
      </c>
      <c r="N380" s="1">
        <f t="shared" si="38"/>
        <v>0.90653291193122421</v>
      </c>
      <c r="O380" s="1">
        <f t="shared" si="39"/>
        <v>0.58915906788247208</v>
      </c>
      <c r="P380" s="1">
        <f t="shared" si="40"/>
        <v>2.0757515123011605E-2</v>
      </c>
      <c r="Q380">
        <f t="shared" si="41"/>
        <v>0.33330779275388478</v>
      </c>
    </row>
    <row r="381" spans="1:17" x14ac:dyDescent="0.3">
      <c r="A381" s="2" t="s">
        <v>61</v>
      </c>
      <c r="B381" s="2" t="s">
        <v>33</v>
      </c>
      <c r="C381">
        <v>456505</v>
      </c>
      <c r="D381">
        <v>121216</v>
      </c>
      <c r="E381">
        <v>146.437467220336</v>
      </c>
      <c r="F381">
        <v>-73.563188458633803</v>
      </c>
      <c r="G381">
        <v>-3.49</v>
      </c>
      <c r="H381">
        <v>51.506263749921601</v>
      </c>
      <c r="I381">
        <v>121216</v>
      </c>
      <c r="J381">
        <v>577721</v>
      </c>
      <c r="K381" s="1">
        <f t="shared" si="35"/>
        <v>0.20981754168534639</v>
      </c>
      <c r="L381" s="1">
        <f t="shared" si="36"/>
        <v>8.0323826392305855E-2</v>
      </c>
      <c r="M381" s="1">
        <f t="shared" si="37"/>
        <v>0.60517618088880143</v>
      </c>
      <c r="N381" s="1">
        <f t="shared" si="38"/>
        <v>0.47849386564600854</v>
      </c>
      <c r="O381" s="1">
        <f t="shared" si="39"/>
        <v>6.7882472137791278E-2</v>
      </c>
      <c r="P381" s="1">
        <f t="shared" si="40"/>
        <v>6.864113905219453E-2</v>
      </c>
      <c r="Q381">
        <f t="shared" si="41"/>
        <v>0.28875851870770775</v>
      </c>
    </row>
    <row r="382" spans="1:17" x14ac:dyDescent="0.3">
      <c r="A382" s="2" t="s">
        <v>61</v>
      </c>
      <c r="B382" s="2" t="s">
        <v>34</v>
      </c>
      <c r="C382">
        <v>140896</v>
      </c>
      <c r="D382">
        <v>136141</v>
      </c>
      <c r="E382">
        <v>97.098943462425595</v>
      </c>
      <c r="F382">
        <v>-91.593968907059704</v>
      </c>
      <c r="G382">
        <v>0.82</v>
      </c>
      <c r="H382">
        <v>79.445044203892195</v>
      </c>
      <c r="I382">
        <v>136141</v>
      </c>
      <c r="J382">
        <v>277037</v>
      </c>
      <c r="K382" s="1">
        <f t="shared" si="35"/>
        <v>0.49141811382595102</v>
      </c>
      <c r="L382" s="1">
        <f t="shared" si="36"/>
        <v>1.6232543187784339E-2</v>
      </c>
      <c r="M382" s="1">
        <f t="shared" si="37"/>
        <v>0.68048764488310953</v>
      </c>
      <c r="N382" s="1">
        <f t="shared" si="38"/>
        <v>0.22997957536061309</v>
      </c>
      <c r="O382" s="1">
        <f t="shared" si="39"/>
        <v>0.28622087132725432</v>
      </c>
      <c r="P382" s="1">
        <f t="shared" si="40"/>
        <v>1.699842688931865E-2</v>
      </c>
      <c r="Q382">
        <f t="shared" si="41"/>
        <v>0.25212114623028181</v>
      </c>
    </row>
    <row r="383" spans="1:17" x14ac:dyDescent="0.3">
      <c r="A383" s="2" t="s">
        <v>61</v>
      </c>
      <c r="B383" s="2" t="s">
        <v>35</v>
      </c>
      <c r="C383">
        <v>540290</v>
      </c>
      <c r="D383">
        <v>176122</v>
      </c>
      <c r="E383">
        <v>201.00165826368001</v>
      </c>
      <c r="F383">
        <v>-55.001171844483203</v>
      </c>
      <c r="G383">
        <v>14.2</v>
      </c>
      <c r="H383">
        <v>56.595473249045199</v>
      </c>
      <c r="I383">
        <v>176122</v>
      </c>
      <c r="J383">
        <v>716412</v>
      </c>
      <c r="K383" s="1">
        <f t="shared" si="35"/>
        <v>0.24583898650497199</v>
      </c>
      <c r="L383" s="1">
        <f t="shared" si="36"/>
        <v>9.7338195954931872E-2</v>
      </c>
      <c r="M383" s="1">
        <f t="shared" si="37"/>
        <v>0.88223154049158081</v>
      </c>
      <c r="N383" s="1">
        <f t="shared" si="38"/>
        <v>0.75332943386584827</v>
      </c>
      <c r="O383" s="1">
        <f t="shared" si="39"/>
        <v>0.96403242147922996</v>
      </c>
      <c r="P383" s="1">
        <f t="shared" si="40"/>
        <v>0.12180538692870756</v>
      </c>
      <c r="Q383">
        <f t="shared" si="41"/>
        <v>0.51387592132108473</v>
      </c>
    </row>
    <row r="384" spans="1:17" x14ac:dyDescent="0.3">
      <c r="A384" s="2" t="s">
        <v>61</v>
      </c>
      <c r="B384" s="2" t="s">
        <v>36</v>
      </c>
      <c r="C384">
        <v>63585</v>
      </c>
      <c r="D384">
        <v>49814</v>
      </c>
      <c r="E384">
        <v>153.44050653003899</v>
      </c>
      <c r="F384">
        <v>-94.562641597875</v>
      </c>
      <c r="G384">
        <v>8.51</v>
      </c>
      <c r="H384">
        <v>75.808568678402494</v>
      </c>
      <c r="I384">
        <v>49814</v>
      </c>
      <c r="J384">
        <v>113399</v>
      </c>
      <c r="K384" s="1">
        <f t="shared" si="35"/>
        <v>0.43928076967169022</v>
      </c>
      <c r="L384" s="1">
        <f t="shared" si="36"/>
        <v>5.3286036560638145E-4</v>
      </c>
      <c r="M384" s="1">
        <f t="shared" si="37"/>
        <v>0.24488210034464142</v>
      </c>
      <c r="N384" s="1">
        <f t="shared" si="38"/>
        <v>0.51376762763432771</v>
      </c>
      <c r="O384" s="1">
        <f t="shared" si="39"/>
        <v>0.6757852077001012</v>
      </c>
      <c r="P384" s="1">
        <f t="shared" si="40"/>
        <v>8.495727313108754E-3</v>
      </c>
      <c r="Q384">
        <f t="shared" si="41"/>
        <v>0.23258864524230916</v>
      </c>
    </row>
    <row r="385" spans="1:17" x14ac:dyDescent="0.3">
      <c r="A385" s="2" t="s">
        <v>61</v>
      </c>
      <c r="B385" s="2" t="s">
        <v>37</v>
      </c>
      <c r="C385">
        <v>3443146</v>
      </c>
      <c r="D385">
        <v>21876</v>
      </c>
      <c r="E385">
        <v>121.009332696877</v>
      </c>
      <c r="F385">
        <v>31.027837816723501</v>
      </c>
      <c r="G385">
        <v>-1.1599999999999999</v>
      </c>
      <c r="H385">
        <v>2.4784104909860698</v>
      </c>
      <c r="I385">
        <v>21876</v>
      </c>
      <c r="J385">
        <v>3465022</v>
      </c>
      <c r="K385" s="1">
        <f t="shared" si="35"/>
        <v>6.3133798284686219E-3</v>
      </c>
      <c r="L385" s="1">
        <f t="shared" si="36"/>
        <v>0.68682634742698911</v>
      </c>
      <c r="M385" s="1">
        <f t="shared" si="37"/>
        <v>0.10390711333807656</v>
      </c>
      <c r="N385" s="1">
        <f t="shared" si="38"/>
        <v>0.35041433826927354</v>
      </c>
      <c r="O385" s="1">
        <f t="shared" si="39"/>
        <v>0.18591691995947313</v>
      </c>
      <c r="P385" s="1">
        <f t="shared" si="40"/>
        <v>0.3682046704371939</v>
      </c>
      <c r="Q385">
        <f t="shared" si="41"/>
        <v>0.39186102662748667</v>
      </c>
    </row>
    <row r="386" spans="1:17" x14ac:dyDescent="0.3">
      <c r="A386" s="2" t="s">
        <v>61</v>
      </c>
      <c r="B386" s="2" t="s">
        <v>38</v>
      </c>
      <c r="C386">
        <v>916992</v>
      </c>
      <c r="D386">
        <v>35513</v>
      </c>
      <c r="E386">
        <v>146.87586941800799</v>
      </c>
      <c r="F386">
        <v>-67.535581683168303</v>
      </c>
      <c r="G386">
        <v>11.82</v>
      </c>
      <c r="H386">
        <v>13.4132292898123</v>
      </c>
      <c r="I386">
        <v>35513</v>
      </c>
      <c r="J386">
        <v>952505</v>
      </c>
      <c r="K386" s="1">
        <f t="shared" si="35"/>
        <v>3.7283793785859394E-2</v>
      </c>
      <c r="L386" s="1">
        <f t="shared" si="36"/>
        <v>0.17383574376158398</v>
      </c>
      <c r="M386" s="1">
        <f t="shared" si="37"/>
        <v>0.17271933675451742</v>
      </c>
      <c r="N386" s="1">
        <f t="shared" si="38"/>
        <v>0.48070206327163256</v>
      </c>
      <c r="O386" s="1">
        <f t="shared" si="39"/>
        <v>0.84346504559270497</v>
      </c>
      <c r="P386" s="1">
        <f t="shared" si="40"/>
        <v>8.5905059636593881E-2</v>
      </c>
      <c r="Q386">
        <f t="shared" si="41"/>
        <v>0.29309976768244017</v>
      </c>
    </row>
    <row r="387" spans="1:17" x14ac:dyDescent="0.3">
      <c r="A387" s="2" t="s">
        <v>61</v>
      </c>
      <c r="B387" s="2" t="s">
        <v>39</v>
      </c>
      <c r="C387">
        <v>107173</v>
      </c>
      <c r="D387">
        <v>71195</v>
      </c>
      <c r="E387">
        <v>141.84158593469601</v>
      </c>
      <c r="F387">
        <v>-94.129022277227705</v>
      </c>
      <c r="G387">
        <v>-0.23</v>
      </c>
      <c r="H387">
        <v>72.656670570195899</v>
      </c>
      <c r="I387">
        <v>71195</v>
      </c>
      <c r="J387">
        <v>178368</v>
      </c>
      <c r="K387" s="1">
        <f t="shared" ref="K387:K433" si="42">I387/J387</f>
        <v>0.39914670792967349</v>
      </c>
      <c r="L387" s="1">
        <f t="shared" ref="L387:L433" si="43">(C387-$A$435)/($A$436-$A$435)</f>
        <v>9.3843533595282403E-3</v>
      </c>
      <c r="M387" s="1">
        <f t="shared" ref="M387:M433" si="44">(D387-$B$435)/($B$436-$B$435)</f>
        <v>0.35277050313608543</v>
      </c>
      <c r="N387" s="1">
        <f t="shared" ref="N387:N433" si="45">(E387-$C$435)/($C$436-$C$435)</f>
        <v>0.45534477059928791</v>
      </c>
      <c r="O387" s="1">
        <f t="shared" ref="O387:O433" si="46">(G387-$E$435)/($E$436-$E$435)</f>
        <v>0.23302938196555215</v>
      </c>
      <c r="P387" s="1">
        <f t="shared" ref="P387:P433" si="47">(F387-$D$435)/($D$436-$D$435)</f>
        <v>9.7376745393257438E-3</v>
      </c>
      <c r="Q387">
        <f t="shared" ref="Q387:Q433" si="48">(0.35)*(L387)+(0.25)*(M387)+(0.2)*(N387)+(0.1)*(O387)+(0.1)*(P387)</f>
        <v>0.20682280923020163</v>
      </c>
    </row>
    <row r="388" spans="1:17" x14ac:dyDescent="0.3">
      <c r="A388" s="2" t="s">
        <v>61</v>
      </c>
      <c r="B388" s="2" t="s">
        <v>40</v>
      </c>
      <c r="C388">
        <v>3055182</v>
      </c>
      <c r="D388">
        <v>33873</v>
      </c>
      <c r="E388">
        <v>53.058297764202898</v>
      </c>
      <c r="F388">
        <v>-61.966274752475201</v>
      </c>
      <c r="G388">
        <v>4.03</v>
      </c>
      <c r="H388">
        <v>4.2465008960489197</v>
      </c>
      <c r="I388">
        <v>33873</v>
      </c>
      <c r="J388">
        <v>3089055</v>
      </c>
      <c r="K388" s="1">
        <f t="shared" si="42"/>
        <v>1.0965489445801386E-2</v>
      </c>
      <c r="L388" s="1">
        <f t="shared" si="43"/>
        <v>0.60804180517008577</v>
      </c>
      <c r="M388" s="1">
        <f t="shared" si="44"/>
        <v>0.16444390620505911</v>
      </c>
      <c r="N388" s="1">
        <f t="shared" si="45"/>
        <v>8.1502830391214365E-3</v>
      </c>
      <c r="O388" s="1">
        <f t="shared" si="46"/>
        <v>0.44883485309017218</v>
      </c>
      <c r="P388" s="1">
        <f t="shared" si="47"/>
        <v>0.10185634447371819</v>
      </c>
      <c r="Q388">
        <f t="shared" si="48"/>
        <v>0.3106247847250081</v>
      </c>
    </row>
    <row r="389" spans="1:17" x14ac:dyDescent="0.3">
      <c r="A389" s="2" t="s">
        <v>61</v>
      </c>
      <c r="B389" s="2" t="s">
        <v>41</v>
      </c>
      <c r="C389">
        <v>768718</v>
      </c>
      <c r="D389">
        <v>82166</v>
      </c>
      <c r="E389">
        <v>229.87857334254701</v>
      </c>
      <c r="F389">
        <v>-54.610148514851403</v>
      </c>
      <c r="G389">
        <v>13.88</v>
      </c>
      <c r="H389">
        <v>29.949826040521799</v>
      </c>
      <c r="I389">
        <v>82166</v>
      </c>
      <c r="J389">
        <v>850884</v>
      </c>
      <c r="K389" s="1">
        <f t="shared" si="42"/>
        <v>9.6565454280489474E-2</v>
      </c>
      <c r="L389" s="1">
        <f t="shared" si="43"/>
        <v>0.1437254778126813</v>
      </c>
      <c r="M389" s="1">
        <f t="shared" si="44"/>
        <v>0.40813010591541904</v>
      </c>
      <c r="N389" s="1">
        <f t="shared" si="45"/>
        <v>0.89878019951235166</v>
      </c>
      <c r="O389" s="1">
        <f t="shared" si="46"/>
        <v>0.94782168186423499</v>
      </c>
      <c r="P389" s="1">
        <f t="shared" si="47"/>
        <v>0.12292533319608653</v>
      </c>
      <c r="Q389">
        <f t="shared" si="48"/>
        <v>0.43916718512179576</v>
      </c>
    </row>
    <row r="390" spans="1:17" x14ac:dyDescent="0.3">
      <c r="A390" s="2" t="s">
        <v>61</v>
      </c>
      <c r="B390" s="2" t="s">
        <v>42</v>
      </c>
      <c r="C390">
        <v>1586440</v>
      </c>
      <c r="D390">
        <v>53308</v>
      </c>
      <c r="E390">
        <v>228.69367732114901</v>
      </c>
      <c r="F390">
        <v>-12.9795792079207</v>
      </c>
      <c r="G390">
        <v>-3.98</v>
      </c>
      <c r="H390">
        <v>11.848381260585199</v>
      </c>
      <c r="I390">
        <v>53308</v>
      </c>
      <c r="J390">
        <v>1639748</v>
      </c>
      <c r="K390" s="1">
        <f t="shared" si="42"/>
        <v>3.2509873468362212E-2</v>
      </c>
      <c r="L390" s="1">
        <f t="shared" si="43"/>
        <v>0.30978174453691204</v>
      </c>
      <c r="M390" s="1">
        <f t="shared" si="44"/>
        <v>0.26251280421037759</v>
      </c>
      <c r="N390" s="1">
        <f t="shared" si="45"/>
        <v>0.89281197080602559</v>
      </c>
      <c r="O390" s="1">
        <f t="shared" si="46"/>
        <v>4.3059777102330291E-2</v>
      </c>
      <c r="P390" s="1">
        <f t="shared" si="47"/>
        <v>0.24216118735359007</v>
      </c>
      <c r="Q390">
        <f t="shared" si="48"/>
        <v>0.38113630224731077</v>
      </c>
    </row>
    <row r="391" spans="1:17" x14ac:dyDescent="0.3">
      <c r="A391" s="2" t="s">
        <v>61</v>
      </c>
      <c r="B391" s="2" t="s">
        <v>43</v>
      </c>
      <c r="C391">
        <v>545880</v>
      </c>
      <c r="D391">
        <v>128222</v>
      </c>
      <c r="E391">
        <v>189.28886132959099</v>
      </c>
      <c r="F391">
        <v>-70.389851485148498</v>
      </c>
      <c r="G391">
        <v>4.09</v>
      </c>
      <c r="H391">
        <v>48.441962734045603</v>
      </c>
      <c r="I391">
        <v>128222</v>
      </c>
      <c r="J391">
        <v>674102</v>
      </c>
      <c r="K391" s="1">
        <f t="shared" si="42"/>
        <v>0.19021157035582154</v>
      </c>
      <c r="L391" s="1">
        <f t="shared" si="43"/>
        <v>9.8473367236844855E-2</v>
      </c>
      <c r="M391" s="1">
        <f t="shared" si="44"/>
        <v>0.64052841651654835</v>
      </c>
      <c r="N391" s="1">
        <f t="shared" si="45"/>
        <v>0.69433299060754339</v>
      </c>
      <c r="O391" s="1">
        <f t="shared" si="46"/>
        <v>0.45187436676798376</v>
      </c>
      <c r="P391" s="1">
        <f t="shared" si="47"/>
        <v>7.773002615756773E-2</v>
      </c>
      <c r="Q391">
        <f t="shared" si="48"/>
        <v>0.38642482007609658</v>
      </c>
    </row>
    <row r="392" spans="1:17" x14ac:dyDescent="0.3">
      <c r="A392" s="2" t="s">
        <v>61</v>
      </c>
      <c r="B392" s="2" t="s">
        <v>44</v>
      </c>
      <c r="C392">
        <v>3524548</v>
      </c>
      <c r="D392">
        <v>189523</v>
      </c>
      <c r="E392">
        <v>163.75562018065801</v>
      </c>
      <c r="F392">
        <v>41.135519801980102</v>
      </c>
      <c r="G392">
        <v>9.4499999999999993</v>
      </c>
      <c r="H392">
        <v>17.701511217379899</v>
      </c>
      <c r="I392">
        <v>189523</v>
      </c>
      <c r="J392">
        <v>3714071</v>
      </c>
      <c r="K392" s="1">
        <f t="shared" si="42"/>
        <v>5.1028372909403187E-2</v>
      </c>
      <c r="L392" s="1">
        <f t="shared" si="43"/>
        <v>0.70335679692435593</v>
      </c>
      <c r="M392" s="1">
        <f t="shared" si="44"/>
        <v>0.94985290926797761</v>
      </c>
      <c r="N392" s="1">
        <f t="shared" si="45"/>
        <v>0.56572404936828335</v>
      </c>
      <c r="O392" s="1">
        <f t="shared" si="46"/>
        <v>0.72340425531914887</v>
      </c>
      <c r="P392" s="1">
        <f t="shared" si="47"/>
        <v>0.39715450502097988</v>
      </c>
      <c r="Q392">
        <f t="shared" si="48"/>
        <v>0.70883879214818857</v>
      </c>
    </row>
    <row r="393" spans="1:17" x14ac:dyDescent="0.3">
      <c r="A393" s="2" t="s">
        <v>61</v>
      </c>
      <c r="B393" s="2" t="s">
        <v>45</v>
      </c>
      <c r="C393">
        <v>4416121</v>
      </c>
      <c r="D393">
        <v>117324</v>
      </c>
      <c r="E393">
        <v>170.57668064793901</v>
      </c>
      <c r="F393">
        <v>79.447710396039597</v>
      </c>
      <c r="G393">
        <v>12.65</v>
      </c>
      <c r="H393">
        <v>9.6060581931900497</v>
      </c>
      <c r="I393">
        <v>117324</v>
      </c>
      <c r="J393">
        <v>4533445</v>
      </c>
      <c r="K393" s="1">
        <f t="shared" si="42"/>
        <v>2.5879656640810687E-2</v>
      </c>
      <c r="L393" s="1">
        <f t="shared" si="43"/>
        <v>0.8844101180923355</v>
      </c>
      <c r="M393" s="1">
        <f t="shared" si="44"/>
        <v>0.58553717131655036</v>
      </c>
      <c r="N393" s="1">
        <f t="shared" si="45"/>
        <v>0.60008119814187888</v>
      </c>
      <c r="O393" s="1">
        <f t="shared" si="46"/>
        <v>0.88551165146909816</v>
      </c>
      <c r="P393" s="1">
        <f t="shared" si="47"/>
        <v>0.50688605196303049</v>
      </c>
      <c r="Q393">
        <f t="shared" si="48"/>
        <v>0.7151838441330437</v>
      </c>
    </row>
    <row r="394" spans="1:17" x14ac:dyDescent="0.3">
      <c r="A394" s="2" t="s">
        <v>61</v>
      </c>
      <c r="B394" s="2" t="s">
        <v>46</v>
      </c>
      <c r="C394">
        <v>4760813</v>
      </c>
      <c r="D394">
        <v>176732</v>
      </c>
      <c r="E394">
        <v>182.54010849521299</v>
      </c>
      <c r="F394">
        <v>109.15068069306901</v>
      </c>
      <c r="G394">
        <v>-2.56</v>
      </c>
      <c r="H394">
        <v>12.929068878719701</v>
      </c>
      <c r="I394">
        <v>176732</v>
      </c>
      <c r="J394">
        <v>4937545</v>
      </c>
      <c r="K394" s="1">
        <f t="shared" si="42"/>
        <v>3.5793496565600921E-2</v>
      </c>
      <c r="L394" s="1">
        <f t="shared" si="43"/>
        <v>0.95440733803958966</v>
      </c>
      <c r="M394" s="1">
        <f t="shared" si="44"/>
        <v>0.88530959697644029</v>
      </c>
      <c r="N394" s="1">
        <f t="shared" si="45"/>
        <v>0.66034004973285609</v>
      </c>
      <c r="O394" s="1">
        <f t="shared" si="46"/>
        <v>0.1149949341438703</v>
      </c>
      <c r="P394" s="1">
        <f t="shared" si="47"/>
        <v>0.59195957109435882</v>
      </c>
      <c r="Q394">
        <f t="shared" si="48"/>
        <v>0.75813342802836059</v>
      </c>
    </row>
    <row r="395" spans="1:17" x14ac:dyDescent="0.3">
      <c r="A395" s="2" t="s">
        <v>61</v>
      </c>
      <c r="B395" s="2" t="s">
        <v>47</v>
      </c>
      <c r="C395">
        <v>4525901</v>
      </c>
      <c r="D395">
        <v>132642</v>
      </c>
      <c r="E395">
        <v>134.784631160429</v>
      </c>
      <c r="F395">
        <v>45.706992574257399</v>
      </c>
      <c r="G395">
        <v>-4.2</v>
      </c>
      <c r="H395">
        <v>10.492855785331599</v>
      </c>
      <c r="I395">
        <v>132642</v>
      </c>
      <c r="J395">
        <v>4658543</v>
      </c>
      <c r="K395" s="1">
        <f t="shared" si="42"/>
        <v>2.8472850846283912E-2</v>
      </c>
      <c r="L395" s="1">
        <f t="shared" si="43"/>
        <v>0.90670333872353548</v>
      </c>
      <c r="M395" s="1">
        <f t="shared" si="44"/>
        <v>0.66283171104618599</v>
      </c>
      <c r="N395" s="1">
        <f t="shared" si="45"/>
        <v>0.41979944062735253</v>
      </c>
      <c r="O395" s="1">
        <f t="shared" si="46"/>
        <v>3.1914893617021267E-2</v>
      </c>
      <c r="P395" s="1">
        <f t="shared" si="47"/>
        <v>0.41024785132478625</v>
      </c>
      <c r="Q395">
        <f t="shared" si="48"/>
        <v>0.61123025893443517</v>
      </c>
    </row>
    <row r="396" spans="1:17" x14ac:dyDescent="0.3">
      <c r="A396" s="2" t="s">
        <v>61</v>
      </c>
      <c r="B396" s="2" t="s">
        <v>48</v>
      </c>
      <c r="C396">
        <v>3205116</v>
      </c>
      <c r="D396">
        <v>127482</v>
      </c>
      <c r="E396">
        <v>236.482167966253</v>
      </c>
      <c r="F396">
        <v>82.882116336633601</v>
      </c>
      <c r="G396">
        <v>2.4</v>
      </c>
      <c r="H396">
        <v>13.7260285477103</v>
      </c>
      <c r="I396">
        <v>127482</v>
      </c>
      <c r="J396">
        <v>3332598</v>
      </c>
      <c r="K396" s="1">
        <f t="shared" si="42"/>
        <v>3.8253038620319646E-2</v>
      </c>
      <c r="L396" s="1">
        <f t="shared" si="43"/>
        <v>0.63848917028320595</v>
      </c>
      <c r="M396" s="1">
        <f t="shared" si="44"/>
        <v>0.63679438078081718</v>
      </c>
      <c r="N396" s="1">
        <f t="shared" si="45"/>
        <v>0.93204198981834219</v>
      </c>
      <c r="O396" s="1">
        <f t="shared" si="46"/>
        <v>0.36626139817629177</v>
      </c>
      <c r="P396" s="1">
        <f t="shared" si="47"/>
        <v>0.51672267761259039</v>
      </c>
      <c r="Q396">
        <f t="shared" si="48"/>
        <v>0.65737661033688299</v>
      </c>
    </row>
    <row r="397" spans="1:17" x14ac:dyDescent="0.3">
      <c r="A397" s="2" t="s">
        <v>61</v>
      </c>
      <c r="B397" s="2" t="s">
        <v>49</v>
      </c>
      <c r="C397">
        <v>2195864</v>
      </c>
      <c r="D397">
        <v>91070</v>
      </c>
      <c r="E397">
        <v>194.62739195796601</v>
      </c>
      <c r="F397">
        <v>3.28743811881187</v>
      </c>
      <c r="G397">
        <v>5.8</v>
      </c>
      <c r="H397">
        <v>14.228887125099201</v>
      </c>
      <c r="I397">
        <v>91070</v>
      </c>
      <c r="J397">
        <v>2286934</v>
      </c>
      <c r="K397" s="1">
        <f t="shared" si="42"/>
        <v>3.9821875051925415E-2</v>
      </c>
      <c r="L397" s="1">
        <f t="shared" si="43"/>
        <v>0.43353856444899413</v>
      </c>
      <c r="M397" s="1">
        <f t="shared" si="44"/>
        <v>0.45305963860589271</v>
      </c>
      <c r="N397" s="1">
        <f t="shared" si="45"/>
        <v>0.72122275238451095</v>
      </c>
      <c r="O397" s="1">
        <f t="shared" si="46"/>
        <v>0.53850050658561288</v>
      </c>
      <c r="P397" s="1">
        <f t="shared" si="47"/>
        <v>0.28875223181535681</v>
      </c>
      <c r="Q397">
        <f t="shared" si="48"/>
        <v>0.49197323152562034</v>
      </c>
    </row>
    <row r="398" spans="1:17" x14ac:dyDescent="0.3">
      <c r="A398" s="2" t="s">
        <v>62</v>
      </c>
      <c r="B398" s="2" t="s">
        <v>14</v>
      </c>
      <c r="C398">
        <v>3499229</v>
      </c>
      <c r="D398">
        <v>172142</v>
      </c>
      <c r="E398">
        <v>215.723227099631</v>
      </c>
      <c r="F398">
        <v>129.920650280627</v>
      </c>
      <c r="G398">
        <v>3.26</v>
      </c>
      <c r="H398">
        <v>16.442248752745101</v>
      </c>
      <c r="I398">
        <v>172142</v>
      </c>
      <c r="J398">
        <v>3671371</v>
      </c>
      <c r="K398" s="1">
        <f t="shared" si="42"/>
        <v>4.6887661312354431E-2</v>
      </c>
      <c r="L398" s="1">
        <f t="shared" si="43"/>
        <v>0.69821522238289713</v>
      </c>
      <c r="M398" s="1">
        <f t="shared" si="44"/>
        <v>0.86214848342643191</v>
      </c>
      <c r="N398" s="1">
        <f t="shared" si="45"/>
        <v>0.82748082617554197</v>
      </c>
      <c r="O398" s="1">
        <f t="shared" si="46"/>
        <v>0.40982776089159062</v>
      </c>
      <c r="P398" s="1">
        <f t="shared" si="47"/>
        <v>0.6514477093981883</v>
      </c>
      <c r="Q398">
        <f t="shared" si="48"/>
        <v>0.7315361609547083</v>
      </c>
    </row>
    <row r="399" spans="1:17" x14ac:dyDescent="0.3">
      <c r="A399" s="2" t="s">
        <v>62</v>
      </c>
      <c r="B399" s="2" t="s">
        <v>15</v>
      </c>
      <c r="C399">
        <v>1313105</v>
      </c>
      <c r="D399">
        <v>77829</v>
      </c>
      <c r="E399">
        <v>238.83232417929199</v>
      </c>
      <c r="F399">
        <v>-3.5610605767369798</v>
      </c>
      <c r="G399">
        <v>10.87</v>
      </c>
      <c r="H399">
        <v>19.1647362352493</v>
      </c>
      <c r="I399">
        <v>77829</v>
      </c>
      <c r="J399">
        <v>1390934</v>
      </c>
      <c r="K399" s="1">
        <f t="shared" si="42"/>
        <v>5.5954488135310516E-2</v>
      </c>
      <c r="L399" s="1">
        <f t="shared" si="43"/>
        <v>0.25427511799993785</v>
      </c>
      <c r="M399" s="1">
        <f t="shared" si="44"/>
        <v>0.38624562890749181</v>
      </c>
      <c r="N399" s="1">
        <f t="shared" si="45"/>
        <v>0.94387954309028332</v>
      </c>
      <c r="O399" s="1">
        <f t="shared" si="46"/>
        <v>0.79533941236068884</v>
      </c>
      <c r="P399" s="1">
        <f t="shared" si="47"/>
        <v>0.26913716036053598</v>
      </c>
      <c r="Q399">
        <f t="shared" si="48"/>
        <v>0.48078126441703034</v>
      </c>
    </row>
    <row r="400" spans="1:17" x14ac:dyDescent="0.3">
      <c r="A400" s="2" t="s">
        <v>62</v>
      </c>
      <c r="B400" s="2" t="s">
        <v>16</v>
      </c>
      <c r="C400">
        <v>1538655</v>
      </c>
      <c r="D400">
        <v>76091</v>
      </c>
      <c r="E400">
        <v>231.49151631278201</v>
      </c>
      <c r="F400">
        <v>8.5155796400232298</v>
      </c>
      <c r="G400">
        <v>-3.28</v>
      </c>
      <c r="H400">
        <v>16.514425515960401</v>
      </c>
      <c r="I400">
        <v>76091</v>
      </c>
      <c r="J400">
        <v>1614746</v>
      </c>
      <c r="K400" s="1">
        <f t="shared" si="42"/>
        <v>4.7122581508175276E-2</v>
      </c>
      <c r="L400" s="1">
        <f t="shared" si="43"/>
        <v>0.30007795925851993</v>
      </c>
      <c r="M400" s="1">
        <f t="shared" si="44"/>
        <v>0.37747569092276095</v>
      </c>
      <c r="N400" s="1">
        <f t="shared" si="45"/>
        <v>0.90690446726477913</v>
      </c>
      <c r="O400" s="1">
        <f t="shared" si="46"/>
        <v>7.8520770010131719E-2</v>
      </c>
      <c r="P400" s="1">
        <f t="shared" si="47"/>
        <v>0.30372637053880119</v>
      </c>
      <c r="Q400">
        <f t="shared" si="48"/>
        <v>0.41900181597902131</v>
      </c>
    </row>
    <row r="401" spans="1:17" x14ac:dyDescent="0.3">
      <c r="A401" s="2" t="s">
        <v>62</v>
      </c>
      <c r="B401" s="2" t="s">
        <v>17</v>
      </c>
      <c r="C401">
        <v>484310</v>
      </c>
      <c r="D401">
        <v>36457</v>
      </c>
      <c r="E401">
        <v>236.19008116873701</v>
      </c>
      <c r="F401">
        <v>-64.292626282175306</v>
      </c>
      <c r="G401">
        <v>7.25</v>
      </c>
      <c r="H401">
        <v>23.142232336408799</v>
      </c>
      <c r="I401">
        <v>36457</v>
      </c>
      <c r="J401">
        <v>520767</v>
      </c>
      <c r="K401" s="1">
        <f t="shared" si="42"/>
        <v>7.0006356009501364E-2</v>
      </c>
      <c r="L401" s="1">
        <f t="shared" si="43"/>
        <v>8.5970237392948165E-2</v>
      </c>
      <c r="M401" s="1">
        <f t="shared" si="44"/>
        <v>0.17748275531469343</v>
      </c>
      <c r="N401" s="1">
        <f t="shared" si="45"/>
        <v>0.93057077143445643</v>
      </c>
      <c r="O401" s="1">
        <f t="shared" si="46"/>
        <v>0.61195542046605866</v>
      </c>
      <c r="P401" s="1">
        <f t="shared" si="47"/>
        <v>9.5193343790990856E-2</v>
      </c>
      <c r="Q401">
        <f t="shared" si="48"/>
        <v>0.33128930262880146</v>
      </c>
    </row>
    <row r="402" spans="1:17" x14ac:dyDescent="0.3">
      <c r="A402" s="2" t="s">
        <v>62</v>
      </c>
      <c r="B402" s="2" t="s">
        <v>18</v>
      </c>
      <c r="C402">
        <v>3529542</v>
      </c>
      <c r="D402">
        <v>143107</v>
      </c>
      <c r="E402">
        <v>170.939286602122</v>
      </c>
      <c r="F402">
        <v>82.252757886587901</v>
      </c>
      <c r="G402">
        <v>4.57</v>
      </c>
      <c r="H402">
        <v>13.9549533516822</v>
      </c>
      <c r="I402">
        <v>143107</v>
      </c>
      <c r="J402">
        <v>3672649</v>
      </c>
      <c r="K402" s="1">
        <f t="shared" si="42"/>
        <v>3.8965607658123604E-2</v>
      </c>
      <c r="L402" s="1">
        <f t="shared" si="43"/>
        <v>0.70437093742200774</v>
      </c>
      <c r="M402" s="1">
        <f t="shared" si="44"/>
        <v>0.71563804074135751</v>
      </c>
      <c r="N402" s="1">
        <f t="shared" si="45"/>
        <v>0.60190761600957188</v>
      </c>
      <c r="O402" s="1">
        <f t="shared" si="46"/>
        <v>0.47619047619047616</v>
      </c>
      <c r="P402" s="1">
        <f t="shared" si="47"/>
        <v>0.51492010576186265</v>
      </c>
      <c r="Q402">
        <f t="shared" si="48"/>
        <v>0.64493191968019037</v>
      </c>
    </row>
    <row r="403" spans="1:17" x14ac:dyDescent="0.3">
      <c r="A403" s="2" t="s">
        <v>62</v>
      </c>
      <c r="B403" s="2" t="s">
        <v>19</v>
      </c>
      <c r="C403">
        <v>561608</v>
      </c>
      <c r="D403">
        <v>132672</v>
      </c>
      <c r="E403">
        <v>222.38866163507501</v>
      </c>
      <c r="F403">
        <v>-55.177085349332302</v>
      </c>
      <c r="G403">
        <v>4.4400000000000004</v>
      </c>
      <c r="H403">
        <v>48.584632736913797</v>
      </c>
      <c r="I403">
        <v>132672</v>
      </c>
      <c r="J403">
        <v>694280</v>
      </c>
      <c r="K403" s="1">
        <f t="shared" si="42"/>
        <v>0.19109293080601486</v>
      </c>
      <c r="L403" s="1">
        <f t="shared" si="43"/>
        <v>0.10166728028191238</v>
      </c>
      <c r="M403" s="1">
        <f t="shared" si="44"/>
        <v>0.6629830908733102</v>
      </c>
      <c r="N403" s="1">
        <f t="shared" si="45"/>
        <v>0.86105409928657728</v>
      </c>
      <c r="O403" s="1">
        <f t="shared" si="46"/>
        <v>0.46960486322188444</v>
      </c>
      <c r="P403" s="1">
        <f t="shared" si="47"/>
        <v>0.12130154570439285</v>
      </c>
      <c r="Q403">
        <f t="shared" si="48"/>
        <v>0.43263078156694013</v>
      </c>
    </row>
    <row r="404" spans="1:17" x14ac:dyDescent="0.3">
      <c r="A404" s="2" t="s">
        <v>62</v>
      </c>
      <c r="B404" s="2" t="s">
        <v>20</v>
      </c>
      <c r="C404">
        <v>1985834</v>
      </c>
      <c r="D404">
        <v>109180</v>
      </c>
      <c r="E404">
        <v>234.652369864831</v>
      </c>
      <c r="F404">
        <v>42.713373330752802</v>
      </c>
      <c r="G404">
        <v>1.39</v>
      </c>
      <c r="H404">
        <v>18.027255532797199</v>
      </c>
      <c r="I404">
        <v>109180</v>
      </c>
      <c r="J404">
        <v>2095014</v>
      </c>
      <c r="K404" s="1">
        <f t="shared" si="42"/>
        <v>5.2114210215301666E-2</v>
      </c>
      <c r="L404" s="1">
        <f t="shared" si="43"/>
        <v>0.39088739730405958</v>
      </c>
      <c r="M404" s="1">
        <f t="shared" si="44"/>
        <v>0.54444259424655739</v>
      </c>
      <c r="N404" s="1">
        <f t="shared" si="45"/>
        <v>0.92282543970890474</v>
      </c>
      <c r="O404" s="1">
        <f t="shared" si="46"/>
        <v>0.31509625126646401</v>
      </c>
      <c r="P404" s="1">
        <f t="shared" si="47"/>
        <v>0.40167370128398477</v>
      </c>
      <c r="Q404">
        <f t="shared" si="48"/>
        <v>0.52916332081488604</v>
      </c>
    </row>
    <row r="405" spans="1:17" x14ac:dyDescent="0.3">
      <c r="A405" s="2" t="s">
        <v>62</v>
      </c>
      <c r="B405" s="2" t="s">
        <v>21</v>
      </c>
      <c r="C405">
        <v>1595488</v>
      </c>
      <c r="D405">
        <v>26457</v>
      </c>
      <c r="E405">
        <v>89.645456535209206</v>
      </c>
      <c r="F405">
        <v>-57.7898200116121</v>
      </c>
      <c r="G405">
        <v>1.52</v>
      </c>
      <c r="H405">
        <v>6.22036117922831</v>
      </c>
      <c r="I405">
        <v>26457</v>
      </c>
      <c r="J405">
        <v>1621945</v>
      </c>
      <c r="K405" s="1">
        <f t="shared" si="42"/>
        <v>1.631189713584616E-2</v>
      </c>
      <c r="L405" s="1">
        <f t="shared" si="43"/>
        <v>0.31161913805368285</v>
      </c>
      <c r="M405" s="1">
        <f t="shared" si="44"/>
        <v>0.12702281293994763</v>
      </c>
      <c r="N405" s="1">
        <f t="shared" si="45"/>
        <v>0.19243694390780891</v>
      </c>
      <c r="O405" s="1">
        <f t="shared" si="46"/>
        <v>0.32168186423505568</v>
      </c>
      <c r="P405" s="1">
        <f t="shared" si="47"/>
        <v>0.11381830311774908</v>
      </c>
      <c r="Q405">
        <f t="shared" si="48"/>
        <v>0.22285980707061817</v>
      </c>
    </row>
    <row r="406" spans="1:17" x14ac:dyDescent="0.3">
      <c r="A406" s="2" t="s">
        <v>62</v>
      </c>
      <c r="B406" s="2" t="s">
        <v>22</v>
      </c>
      <c r="C406">
        <v>950513</v>
      </c>
      <c r="D406">
        <v>59886</v>
      </c>
      <c r="E406">
        <v>204.374707417564</v>
      </c>
      <c r="F406">
        <v>-40.052254693245601</v>
      </c>
      <c r="G406">
        <v>-0.67</v>
      </c>
      <c r="H406">
        <v>20.128783747333099</v>
      </c>
      <c r="I406">
        <v>59886</v>
      </c>
      <c r="J406">
        <v>1010399</v>
      </c>
      <c r="K406" s="1">
        <f t="shared" si="42"/>
        <v>5.9269654859120009E-2</v>
      </c>
      <c r="L406" s="1">
        <f t="shared" si="43"/>
        <v>0.18064291308913411</v>
      </c>
      <c r="M406" s="1">
        <f t="shared" si="44"/>
        <v>0.29570535430448536</v>
      </c>
      <c r="N406" s="1">
        <f t="shared" si="45"/>
        <v>0.77031921898159839</v>
      </c>
      <c r="O406" s="1">
        <f t="shared" si="46"/>
        <v>0.21073961499493413</v>
      </c>
      <c r="P406" s="1">
        <f t="shared" si="47"/>
        <v>0.16462120556707593</v>
      </c>
      <c r="Q406">
        <f t="shared" si="48"/>
        <v>0.32875128400983894</v>
      </c>
    </row>
    <row r="407" spans="1:17" x14ac:dyDescent="0.3">
      <c r="A407" s="2" t="s">
        <v>62</v>
      </c>
      <c r="B407" s="2" t="s">
        <v>23</v>
      </c>
      <c r="C407">
        <v>4896100</v>
      </c>
      <c r="D407">
        <v>39376</v>
      </c>
      <c r="E407">
        <v>112.896912070892</v>
      </c>
      <c r="F407">
        <v>61.757305980259297</v>
      </c>
      <c r="G407">
        <v>14.37</v>
      </c>
      <c r="H407">
        <v>3.11666683816143</v>
      </c>
      <c r="I407">
        <v>39376</v>
      </c>
      <c r="J407">
        <v>4935476</v>
      </c>
      <c r="K407" s="1">
        <f t="shared" si="42"/>
        <v>7.9781565141842457E-3</v>
      </c>
      <c r="L407" s="1">
        <f t="shared" si="43"/>
        <v>0.98188031070795501</v>
      </c>
      <c r="M407" s="1">
        <f t="shared" si="44"/>
        <v>0.19221201249388173</v>
      </c>
      <c r="N407" s="1">
        <f t="shared" si="45"/>
        <v>0.30955270924576567</v>
      </c>
      <c r="O407" s="1">
        <f t="shared" si="46"/>
        <v>0.97264437689969596</v>
      </c>
      <c r="P407" s="1">
        <f t="shared" si="47"/>
        <v>0.45621822502663373</v>
      </c>
      <c r="Q407">
        <f t="shared" si="48"/>
        <v>0.5965079139130407</v>
      </c>
    </row>
    <row r="408" spans="1:17" x14ac:dyDescent="0.3">
      <c r="A408" s="2" t="s">
        <v>62</v>
      </c>
      <c r="B408" s="2" t="s">
        <v>24</v>
      </c>
      <c r="C408">
        <v>1676530</v>
      </c>
      <c r="D408">
        <v>24897</v>
      </c>
      <c r="E408">
        <v>95.037871151686204</v>
      </c>
      <c r="F408">
        <v>-53.057867234371898</v>
      </c>
      <c r="G408">
        <v>-1.77</v>
      </c>
      <c r="H408">
        <v>5.6070598912909997</v>
      </c>
      <c r="I408">
        <v>24897</v>
      </c>
      <c r="J408">
        <v>1701427</v>
      </c>
      <c r="K408" s="1">
        <f t="shared" si="42"/>
        <v>1.4633010996063893E-2</v>
      </c>
      <c r="L408" s="1">
        <f t="shared" si="43"/>
        <v>0.32807648170820736</v>
      </c>
      <c r="M408" s="1">
        <f t="shared" si="44"/>
        <v>0.11915106192948728</v>
      </c>
      <c r="N408" s="1">
        <f t="shared" si="45"/>
        <v>0.21959811512391197</v>
      </c>
      <c r="O408" s="1">
        <f t="shared" si="46"/>
        <v>0.15501519756838905</v>
      </c>
      <c r="P408" s="1">
        <f t="shared" si="47"/>
        <v>0.12737128691355981</v>
      </c>
      <c r="Q408">
        <f t="shared" si="48"/>
        <v>0.21677280555322168</v>
      </c>
    </row>
    <row r="409" spans="1:17" x14ac:dyDescent="0.3">
      <c r="A409" s="2" t="s">
        <v>62</v>
      </c>
      <c r="B409" s="2" t="s">
        <v>25</v>
      </c>
      <c r="C409">
        <v>1398578</v>
      </c>
      <c r="D409">
        <v>14895</v>
      </c>
      <c r="E409">
        <v>118.856179070983</v>
      </c>
      <c r="F409">
        <v>-51.228952970776</v>
      </c>
      <c r="G409">
        <v>11.47</v>
      </c>
      <c r="H409">
        <v>4.0859769654591602</v>
      </c>
      <c r="I409">
        <v>14895</v>
      </c>
      <c r="J409">
        <v>1413473</v>
      </c>
      <c r="K409" s="1">
        <f t="shared" si="42"/>
        <v>1.0537873733704146E-2</v>
      </c>
      <c r="L409" s="1">
        <f t="shared" si="43"/>
        <v>0.2716322727367802</v>
      </c>
      <c r="M409" s="1">
        <f t="shared" si="44"/>
        <v>6.8681027566266525E-2</v>
      </c>
      <c r="N409" s="1">
        <f t="shared" si="45"/>
        <v>0.3395690716407056</v>
      </c>
      <c r="O409" s="1">
        <f t="shared" si="46"/>
        <v>0.8257345491388044</v>
      </c>
      <c r="P409" s="1">
        <f t="shared" si="47"/>
        <v>0.13260955672421054</v>
      </c>
      <c r="Q409">
        <f t="shared" si="48"/>
        <v>0.2759897772638823</v>
      </c>
    </row>
    <row r="410" spans="1:17" x14ac:dyDescent="0.3">
      <c r="A410" s="2" t="s">
        <v>62</v>
      </c>
      <c r="B410" s="2" t="s">
        <v>26</v>
      </c>
      <c r="C410">
        <v>3262363</v>
      </c>
      <c r="D410">
        <v>155255</v>
      </c>
      <c r="E410">
        <v>140.47795862498299</v>
      </c>
      <c r="F410">
        <v>16.5314832419749</v>
      </c>
      <c r="G410">
        <v>-0.91</v>
      </c>
      <c r="H410">
        <v>15.991726801090699</v>
      </c>
      <c r="I410">
        <v>155255</v>
      </c>
      <c r="J410">
        <v>3417618</v>
      </c>
      <c r="K410" s="1">
        <f t="shared" si="42"/>
        <v>4.5427838921728525E-2</v>
      </c>
      <c r="L410" s="1">
        <f t="shared" si="43"/>
        <v>0.65011442079763759</v>
      </c>
      <c r="M410" s="1">
        <f t="shared" si="44"/>
        <v>0.77693677873819866</v>
      </c>
      <c r="N410" s="1">
        <f t="shared" si="45"/>
        <v>0.44847628635460512</v>
      </c>
      <c r="O410" s="1">
        <f t="shared" si="46"/>
        <v>0.19858156028368792</v>
      </c>
      <c r="P410" s="1">
        <f t="shared" si="47"/>
        <v>0.32668505519613056</v>
      </c>
      <c r="Q410">
        <f t="shared" si="48"/>
        <v>0.56399616078262571</v>
      </c>
    </row>
    <row r="411" spans="1:17" x14ac:dyDescent="0.3">
      <c r="A411" s="2" t="s">
        <v>62</v>
      </c>
      <c r="B411" s="2" t="s">
        <v>27</v>
      </c>
      <c r="C411">
        <v>1088230</v>
      </c>
      <c r="D411">
        <v>116479</v>
      </c>
      <c r="E411">
        <v>138.871710927701</v>
      </c>
      <c r="F411">
        <v>-59.392382532009101</v>
      </c>
      <c r="G411">
        <v>2.88</v>
      </c>
      <c r="H411">
        <v>29.978908030519602</v>
      </c>
      <c r="I411">
        <v>116479</v>
      </c>
      <c r="J411">
        <v>1204709</v>
      </c>
      <c r="K411" s="1">
        <f t="shared" si="42"/>
        <v>9.6686419707995866E-2</v>
      </c>
      <c r="L411" s="1">
        <f t="shared" si="43"/>
        <v>0.20860935019668517</v>
      </c>
      <c r="M411" s="1">
        <f t="shared" si="44"/>
        <v>0.58127330618588435</v>
      </c>
      <c r="N411" s="1">
        <f t="shared" si="45"/>
        <v>0.44038574216906723</v>
      </c>
      <c r="O411" s="1">
        <f t="shared" si="46"/>
        <v>0.39057750759878418</v>
      </c>
      <c r="P411" s="1">
        <f t="shared" si="47"/>
        <v>0.10922833679873153</v>
      </c>
      <c r="Q411">
        <f t="shared" si="48"/>
        <v>0.35638933198887596</v>
      </c>
    </row>
    <row r="412" spans="1:17" x14ac:dyDescent="0.3">
      <c r="A412" s="2" t="s">
        <v>62</v>
      </c>
      <c r="B412" s="2" t="s">
        <v>28</v>
      </c>
      <c r="C412">
        <v>4250452</v>
      </c>
      <c r="D412">
        <v>49579</v>
      </c>
      <c r="E412">
        <v>237.76572773545101</v>
      </c>
      <c r="F412">
        <v>148.160359230566</v>
      </c>
      <c r="G412">
        <v>-1.79</v>
      </c>
      <c r="H412">
        <v>4.4577734779606404</v>
      </c>
      <c r="I412">
        <v>49579</v>
      </c>
      <c r="J412">
        <v>4300031</v>
      </c>
      <c r="K412" s="1">
        <f t="shared" si="42"/>
        <v>1.1529916877343442E-2</v>
      </c>
      <c r="L412" s="1">
        <f t="shared" si="43"/>
        <v>0.85076741843164816</v>
      </c>
      <c r="M412" s="1">
        <f t="shared" si="44"/>
        <v>0.24369629169883489</v>
      </c>
      <c r="N412" s="1">
        <f t="shared" si="45"/>
        <v>0.93850718011560941</v>
      </c>
      <c r="O412" s="1">
        <f t="shared" si="46"/>
        <v>0.15400202634245186</v>
      </c>
      <c r="P412" s="1">
        <f t="shared" si="47"/>
        <v>0.70368882241770614</v>
      </c>
      <c r="Q412">
        <f t="shared" si="48"/>
        <v>0.63216319027492329</v>
      </c>
    </row>
    <row r="413" spans="1:17" x14ac:dyDescent="0.3">
      <c r="A413" s="2" t="s">
        <v>62</v>
      </c>
      <c r="B413" s="2" t="s">
        <v>29</v>
      </c>
      <c r="C413">
        <v>669420</v>
      </c>
      <c r="D413">
        <v>38286</v>
      </c>
      <c r="E413">
        <v>149.921012397803</v>
      </c>
      <c r="F413">
        <v>-74.247051922571202</v>
      </c>
      <c r="G413">
        <v>4.4800000000000004</v>
      </c>
      <c r="H413">
        <v>18.617882620683599</v>
      </c>
      <c r="I413">
        <v>38286</v>
      </c>
      <c r="J413">
        <v>707706</v>
      </c>
      <c r="K413" s="1">
        <f t="shared" si="42"/>
        <v>5.4098735915761628E-2</v>
      </c>
      <c r="L413" s="1">
        <f t="shared" si="43"/>
        <v>0.12356085563890749</v>
      </c>
      <c r="M413" s="1">
        <f t="shared" si="44"/>
        <v>0.18671187877503445</v>
      </c>
      <c r="N413" s="1">
        <f t="shared" si="45"/>
        <v>0.49604021060158748</v>
      </c>
      <c r="O413" s="1">
        <f t="shared" si="46"/>
        <v>0.47163120567375882</v>
      </c>
      <c r="P413" s="1">
        <f t="shared" si="47"/>
        <v>6.6682457112283849E-2</v>
      </c>
      <c r="Q413">
        <f t="shared" si="48"/>
        <v>0.242963677566298</v>
      </c>
    </row>
    <row r="414" spans="1:17" x14ac:dyDescent="0.3">
      <c r="A414" s="2" t="s">
        <v>62</v>
      </c>
      <c r="B414" s="2" t="s">
        <v>30</v>
      </c>
      <c r="C414">
        <v>2771240</v>
      </c>
      <c r="D414">
        <v>51811</v>
      </c>
      <c r="E414">
        <v>203.11358172416999</v>
      </c>
      <c r="F414">
        <v>39.177572361900502</v>
      </c>
      <c r="G414">
        <v>2.4900000000000002</v>
      </c>
      <c r="H414">
        <v>6.9580363701802597</v>
      </c>
      <c r="I414">
        <v>51811</v>
      </c>
      <c r="J414">
        <v>2823051</v>
      </c>
      <c r="K414" s="1">
        <f t="shared" si="42"/>
        <v>1.8352838825795213E-2</v>
      </c>
      <c r="L414" s="1">
        <f t="shared" si="43"/>
        <v>0.55038119620247639</v>
      </c>
      <c r="M414" s="1">
        <f t="shared" si="44"/>
        <v>0.25495895083687814</v>
      </c>
      <c r="N414" s="1">
        <f t="shared" si="45"/>
        <v>0.76396702737180711</v>
      </c>
      <c r="O414" s="1">
        <f t="shared" si="46"/>
        <v>0.37082066869300911</v>
      </c>
      <c r="P414" s="1">
        <f t="shared" si="47"/>
        <v>0.39154666589458775</v>
      </c>
      <c r="Q414">
        <f t="shared" si="48"/>
        <v>0.48540329531320742</v>
      </c>
    </row>
    <row r="415" spans="1:17" x14ac:dyDescent="0.3">
      <c r="A415" s="2" t="s">
        <v>62</v>
      </c>
      <c r="B415" s="2" t="s">
        <v>31</v>
      </c>
      <c r="C415">
        <v>2983105</v>
      </c>
      <c r="D415">
        <v>65865</v>
      </c>
      <c r="E415">
        <v>106.658970078419</v>
      </c>
      <c r="F415">
        <v>-21.066364610934599</v>
      </c>
      <c r="G415">
        <v>-3.88</v>
      </c>
      <c r="H415">
        <v>8.1150385099328002</v>
      </c>
      <c r="I415">
        <v>65865</v>
      </c>
      <c r="J415">
        <v>3048970</v>
      </c>
      <c r="K415" s="1">
        <f t="shared" si="42"/>
        <v>2.1602377196233483E-2</v>
      </c>
      <c r="L415" s="1">
        <f t="shared" si="43"/>
        <v>0.59340500007412122</v>
      </c>
      <c r="M415" s="1">
        <f t="shared" si="44"/>
        <v>0.32587535385034588</v>
      </c>
      <c r="N415" s="1">
        <f t="shared" si="45"/>
        <v>0.27813268268178992</v>
      </c>
      <c r="O415" s="1">
        <f t="shared" si="46"/>
        <v>4.8125633232016213E-2</v>
      </c>
      <c r="P415" s="1">
        <f t="shared" si="47"/>
        <v>0.21899948716621681</v>
      </c>
      <c r="Q415">
        <f t="shared" si="48"/>
        <v>0.37149963706471012</v>
      </c>
    </row>
    <row r="416" spans="1:17" x14ac:dyDescent="0.3">
      <c r="A416" s="2" t="s">
        <v>62</v>
      </c>
      <c r="B416" s="2" t="s">
        <v>32</v>
      </c>
      <c r="C416">
        <v>347906</v>
      </c>
      <c r="D416">
        <v>152156</v>
      </c>
      <c r="E416">
        <v>107.986609660402</v>
      </c>
      <c r="F416">
        <v>-86.892938773033407</v>
      </c>
      <c r="G416">
        <v>6.34</v>
      </c>
      <c r="H416">
        <v>63.6283232099359</v>
      </c>
      <c r="I416">
        <v>152156</v>
      </c>
      <c r="J416">
        <v>500062</v>
      </c>
      <c r="K416" s="1">
        <f t="shared" si="42"/>
        <v>0.30427426999052115</v>
      </c>
      <c r="L416" s="1">
        <f t="shared" si="43"/>
        <v>5.8270433539985948E-2</v>
      </c>
      <c r="M416" s="1">
        <f t="shared" si="44"/>
        <v>0.76129924259626491</v>
      </c>
      <c r="N416" s="1">
        <f t="shared" si="45"/>
        <v>0.28481989955293524</v>
      </c>
      <c r="O416" s="1">
        <f t="shared" si="46"/>
        <v>0.56585612968591681</v>
      </c>
      <c r="P416" s="1">
        <f t="shared" si="47"/>
        <v>3.0462843849801368E-2</v>
      </c>
      <c r="Q416">
        <f t="shared" si="48"/>
        <v>0.32731533965222015</v>
      </c>
    </row>
    <row r="417" spans="1:17" x14ac:dyDescent="0.3">
      <c r="A417" s="2" t="s">
        <v>62</v>
      </c>
      <c r="B417" s="2" t="s">
        <v>33</v>
      </c>
      <c r="C417">
        <v>4282449</v>
      </c>
      <c r="D417">
        <v>136063</v>
      </c>
      <c r="E417">
        <v>75.455266388322599</v>
      </c>
      <c r="F417">
        <v>-19.076033091284099</v>
      </c>
      <c r="G417">
        <v>5.29</v>
      </c>
      <c r="H417">
        <v>11.2758590184061</v>
      </c>
      <c r="I417">
        <v>136063</v>
      </c>
      <c r="J417">
        <v>4418512</v>
      </c>
      <c r="K417" s="1">
        <f t="shared" si="42"/>
        <v>3.079385096159069E-2</v>
      </c>
      <c r="L417" s="1">
        <f t="shared" si="43"/>
        <v>0.85726510635783237</v>
      </c>
      <c r="M417" s="1">
        <f t="shared" si="44"/>
        <v>0.68009405733258654</v>
      </c>
      <c r="N417" s="1">
        <f t="shared" si="45"/>
        <v>0.12096206454839269</v>
      </c>
      <c r="O417" s="1">
        <f t="shared" si="46"/>
        <v>0.51266464032421477</v>
      </c>
      <c r="P417" s="1">
        <f t="shared" si="47"/>
        <v>0.22470007888891083</v>
      </c>
      <c r="Q417">
        <f t="shared" si="48"/>
        <v>0.56799518638937907</v>
      </c>
    </row>
    <row r="418" spans="1:17" x14ac:dyDescent="0.3">
      <c r="A418" s="2" t="s">
        <v>62</v>
      </c>
      <c r="B418" s="2" t="s">
        <v>34</v>
      </c>
      <c r="C418">
        <v>3215236</v>
      </c>
      <c r="D418">
        <v>66853</v>
      </c>
      <c r="E418">
        <v>221.10917772187099</v>
      </c>
      <c r="F418">
        <v>76.144339489067306</v>
      </c>
      <c r="G418">
        <v>-1.51</v>
      </c>
      <c r="H418">
        <v>7.6784102211880096</v>
      </c>
      <c r="I418">
        <v>66853</v>
      </c>
      <c r="J418">
        <v>3282089</v>
      </c>
      <c r="K418" s="1">
        <f t="shared" si="42"/>
        <v>2.0369039352680564E-2</v>
      </c>
      <c r="L418" s="1">
        <f t="shared" si="43"/>
        <v>0.64054425675421833</v>
      </c>
      <c r="M418" s="1">
        <f t="shared" si="44"/>
        <v>0.33086079615697078</v>
      </c>
      <c r="N418" s="1">
        <f t="shared" si="45"/>
        <v>0.85460943875758244</v>
      </c>
      <c r="O418" s="1">
        <f t="shared" si="46"/>
        <v>0.16818642350557245</v>
      </c>
      <c r="P418" s="1">
        <f t="shared" si="47"/>
        <v>0.49742472923194037</v>
      </c>
      <c r="Q418">
        <f t="shared" si="48"/>
        <v>0.54438869192848693</v>
      </c>
    </row>
    <row r="419" spans="1:17" x14ac:dyDescent="0.3">
      <c r="A419" s="2" t="s">
        <v>62</v>
      </c>
      <c r="B419" s="2" t="s">
        <v>35</v>
      </c>
      <c r="C419">
        <v>4010670</v>
      </c>
      <c r="D419">
        <v>88017</v>
      </c>
      <c r="E419">
        <v>91.321928217499902</v>
      </c>
      <c r="F419">
        <v>-9.1486478286372996</v>
      </c>
      <c r="G419">
        <v>-1.85</v>
      </c>
      <c r="H419">
        <v>8.0698863878600999</v>
      </c>
      <c r="I419">
        <v>88017</v>
      </c>
      <c r="J419">
        <v>4098687</v>
      </c>
      <c r="K419" s="1">
        <f t="shared" si="42"/>
        <v>2.1474438033448274E-2</v>
      </c>
      <c r="L419" s="1">
        <f t="shared" si="43"/>
        <v>0.80207445951936562</v>
      </c>
      <c r="M419" s="1">
        <f t="shared" si="44"/>
        <v>0.43765421819888284</v>
      </c>
      <c r="N419" s="1">
        <f t="shared" si="45"/>
        <v>0.2008812008205674</v>
      </c>
      <c r="O419" s="1">
        <f t="shared" si="46"/>
        <v>0.15096251266464031</v>
      </c>
      <c r="P419" s="1">
        <f t="shared" si="47"/>
        <v>0.25313351809112805</v>
      </c>
      <c r="Q419">
        <f t="shared" si="48"/>
        <v>0.47072545862118897</v>
      </c>
    </row>
    <row r="420" spans="1:17" x14ac:dyDescent="0.3">
      <c r="A420" s="2" t="s">
        <v>62</v>
      </c>
      <c r="B420" s="2" t="s">
        <v>36</v>
      </c>
      <c r="C420">
        <v>4145974</v>
      </c>
      <c r="D420">
        <v>83520</v>
      </c>
      <c r="E420">
        <v>145.833047641159</v>
      </c>
      <c r="F420">
        <v>49.711766014684699</v>
      </c>
      <c r="G420">
        <v>1.25</v>
      </c>
      <c r="H420">
        <v>7.4570529730221997</v>
      </c>
      <c r="I420">
        <v>83520</v>
      </c>
      <c r="J420">
        <v>4229494</v>
      </c>
      <c r="K420" s="1">
        <f t="shared" si="42"/>
        <v>1.9747043026896362E-2</v>
      </c>
      <c r="L420" s="1">
        <f t="shared" si="43"/>
        <v>0.82955088440808733</v>
      </c>
      <c r="M420" s="1">
        <f t="shared" si="44"/>
        <v>0.4149623821129596</v>
      </c>
      <c r="N420" s="1">
        <f t="shared" si="45"/>
        <v>0.47544945143753342</v>
      </c>
      <c r="O420" s="1">
        <f t="shared" si="46"/>
        <v>0.30800405268490372</v>
      </c>
      <c r="P420" s="1">
        <f t="shared" si="47"/>
        <v>0.4217180903781142</v>
      </c>
      <c r="Q420">
        <f t="shared" si="48"/>
        <v>0.56214550966487886</v>
      </c>
    </row>
    <row r="421" spans="1:17" x14ac:dyDescent="0.3">
      <c r="A421" s="2" t="s">
        <v>62</v>
      </c>
      <c r="B421" s="2" t="s">
        <v>37</v>
      </c>
      <c r="C421">
        <v>519379</v>
      </c>
      <c r="D421">
        <v>192823</v>
      </c>
      <c r="E421">
        <v>231.95666398016201</v>
      </c>
      <c r="F421">
        <v>-59.902101579724501</v>
      </c>
      <c r="G421">
        <v>2.29</v>
      </c>
      <c r="H421">
        <v>59.758993577759099</v>
      </c>
      <c r="I421">
        <v>192823</v>
      </c>
      <c r="J421">
        <v>712202</v>
      </c>
      <c r="K421" s="1">
        <f t="shared" si="42"/>
        <v>0.27074200858745129</v>
      </c>
      <c r="L421" s="1">
        <f t="shared" si="43"/>
        <v>9.3091761844720344E-2</v>
      </c>
      <c r="M421" s="1">
        <f t="shared" si="44"/>
        <v>0.96650469025164376</v>
      </c>
      <c r="N421" s="1">
        <f t="shared" si="45"/>
        <v>0.90924737973220604</v>
      </c>
      <c r="O421" s="1">
        <f t="shared" si="46"/>
        <v>0.36068895643363724</v>
      </c>
      <c r="P421" s="1">
        <f t="shared" si="47"/>
        <v>0.10776842916243176</v>
      </c>
      <c r="Q421">
        <f t="shared" si="48"/>
        <v>0.50290350371461123</v>
      </c>
    </row>
    <row r="422" spans="1:17" x14ac:dyDescent="0.3">
      <c r="A422" s="2" t="s">
        <v>62</v>
      </c>
      <c r="B422" s="2" t="s">
        <v>38</v>
      </c>
      <c r="C422">
        <v>1997948</v>
      </c>
      <c r="D422">
        <v>182452</v>
      </c>
      <c r="E422">
        <v>95.808108603925803</v>
      </c>
      <c r="F422">
        <v>-42.605948210728698</v>
      </c>
      <c r="G422">
        <v>7.45</v>
      </c>
      <c r="H422">
        <v>26.754885700920401</v>
      </c>
      <c r="I422">
        <v>182452</v>
      </c>
      <c r="J422">
        <v>2180400</v>
      </c>
      <c r="K422" s="1">
        <f t="shared" si="42"/>
        <v>8.3678224179049715E-2</v>
      </c>
      <c r="L422" s="1">
        <f t="shared" si="43"/>
        <v>0.3933474089157043</v>
      </c>
      <c r="M422" s="1">
        <f t="shared" si="44"/>
        <v>0.9141726840147949</v>
      </c>
      <c r="N422" s="1">
        <f t="shared" si="45"/>
        <v>0.22347774100679757</v>
      </c>
      <c r="O422" s="1">
        <f t="shared" si="46"/>
        <v>0.62208713272543059</v>
      </c>
      <c r="P422" s="1">
        <f t="shared" si="47"/>
        <v>0.15730706519179924</v>
      </c>
      <c r="Q422">
        <f t="shared" si="48"/>
        <v>0.48884973211727767</v>
      </c>
    </row>
    <row r="423" spans="1:17" x14ac:dyDescent="0.3">
      <c r="A423" s="2" t="s">
        <v>62</v>
      </c>
      <c r="B423" s="2" t="s">
        <v>39</v>
      </c>
      <c r="C423">
        <v>4422782</v>
      </c>
      <c r="D423">
        <v>173959</v>
      </c>
      <c r="E423">
        <v>88.519235693287897</v>
      </c>
      <c r="F423">
        <v>11.793392403324299</v>
      </c>
      <c r="G423">
        <v>0.59</v>
      </c>
      <c r="H423">
        <v>13.5942162513397</v>
      </c>
      <c r="I423">
        <v>173959</v>
      </c>
      <c r="J423">
        <v>4596741</v>
      </c>
      <c r="K423" s="1">
        <f t="shared" si="42"/>
        <v>3.7843985554113231E-2</v>
      </c>
      <c r="L423" s="1">
        <f t="shared" si="43"/>
        <v>0.88576277925670444</v>
      </c>
      <c r="M423" s="1">
        <f t="shared" si="44"/>
        <v>0.87131705495592326</v>
      </c>
      <c r="N423" s="1">
        <f t="shared" si="45"/>
        <v>0.18676425749732783</v>
      </c>
      <c r="O423" s="1">
        <f t="shared" si="46"/>
        <v>0.27456940222897669</v>
      </c>
      <c r="P423" s="1">
        <f t="shared" si="47"/>
        <v>0.31311449112199735</v>
      </c>
      <c r="Q423">
        <f t="shared" si="48"/>
        <v>0.62396747731339031</v>
      </c>
    </row>
    <row r="424" spans="1:17" x14ac:dyDescent="0.3">
      <c r="A424" s="2" t="s">
        <v>62</v>
      </c>
      <c r="B424" s="2" t="s">
        <v>40</v>
      </c>
      <c r="C424">
        <v>1126311</v>
      </c>
      <c r="D424">
        <v>36781</v>
      </c>
      <c r="E424">
        <v>237.81437753849201</v>
      </c>
      <c r="F424">
        <v>-24.005769627034802</v>
      </c>
      <c r="G424">
        <v>-0.59</v>
      </c>
      <c r="H424">
        <v>11.553318386882699</v>
      </c>
      <c r="I424">
        <v>36781</v>
      </c>
      <c r="J424">
        <v>1163092</v>
      </c>
      <c r="K424" s="1">
        <f t="shared" si="42"/>
        <v>3.1623465727560675E-2</v>
      </c>
      <c r="L424" s="1">
        <f t="shared" si="43"/>
        <v>0.21634252686690492</v>
      </c>
      <c r="M424" s="1">
        <f t="shared" si="44"/>
        <v>0.17911765744763519</v>
      </c>
      <c r="N424" s="1">
        <f t="shared" si="45"/>
        <v>0.93875222537344039</v>
      </c>
      <c r="O424" s="1">
        <f t="shared" si="46"/>
        <v>0.21479229989868287</v>
      </c>
      <c r="P424" s="1">
        <f t="shared" si="47"/>
        <v>0.21058061436086195</v>
      </c>
      <c r="Q424">
        <f t="shared" si="48"/>
        <v>0.35078703526596805</v>
      </c>
    </row>
    <row r="425" spans="1:17" x14ac:dyDescent="0.3">
      <c r="A425" s="2" t="s">
        <v>62</v>
      </c>
      <c r="B425" s="2" t="s">
        <v>41</v>
      </c>
      <c r="C425">
        <v>180810</v>
      </c>
      <c r="D425">
        <v>63445</v>
      </c>
      <c r="E425">
        <v>72.465251478987099</v>
      </c>
      <c r="F425">
        <v>-95.137028642076999</v>
      </c>
      <c r="G425">
        <v>0</v>
      </c>
      <c r="H425">
        <v>58.395269104213099</v>
      </c>
      <c r="I425">
        <v>63445</v>
      </c>
      <c r="J425">
        <v>244255</v>
      </c>
      <c r="K425" s="1">
        <f t="shared" si="42"/>
        <v>0.25974903277312644</v>
      </c>
      <c r="L425" s="1">
        <f t="shared" si="43"/>
        <v>2.4337950441142994E-2</v>
      </c>
      <c r="M425" s="1">
        <f t="shared" si="44"/>
        <v>0.31366404779565743</v>
      </c>
      <c r="N425" s="1">
        <f t="shared" si="45"/>
        <v>0.10590159300323163</v>
      </c>
      <c r="O425" s="1">
        <f t="shared" si="46"/>
        <v>0.24468085106382978</v>
      </c>
      <c r="P425" s="1">
        <f t="shared" si="47"/>
        <v>6.8506013642539755E-3</v>
      </c>
      <c r="Q425">
        <f t="shared" si="48"/>
        <v>0.13326775844676911</v>
      </c>
    </row>
    <row r="426" spans="1:17" x14ac:dyDescent="0.3">
      <c r="A426" s="2" t="s">
        <v>62</v>
      </c>
      <c r="B426" s="2" t="s">
        <v>42</v>
      </c>
      <c r="C426">
        <v>2834869</v>
      </c>
      <c r="D426">
        <v>105602</v>
      </c>
      <c r="E426">
        <v>175.14200956241299</v>
      </c>
      <c r="F426">
        <v>41.493234425441301</v>
      </c>
      <c r="G426">
        <v>13.46</v>
      </c>
      <c r="H426">
        <v>12.968132584364101</v>
      </c>
      <c r="I426">
        <v>105602</v>
      </c>
      <c r="J426">
        <v>2940471</v>
      </c>
      <c r="K426" s="1">
        <f t="shared" si="42"/>
        <v>3.5913294162737877E-2</v>
      </c>
      <c r="L426" s="1">
        <f t="shared" si="43"/>
        <v>0.56330245085307407</v>
      </c>
      <c r="M426" s="1">
        <f t="shared" si="44"/>
        <v>0.52638802686487329</v>
      </c>
      <c r="N426" s="1">
        <f t="shared" si="45"/>
        <v>0.6230764032815137</v>
      </c>
      <c r="O426" s="1">
        <f t="shared" si="46"/>
        <v>0.92654508611955411</v>
      </c>
      <c r="P426" s="1">
        <f t="shared" si="47"/>
        <v>0.39817905043035356</v>
      </c>
      <c r="Q426">
        <f t="shared" si="48"/>
        <v>0.58584055882608776</v>
      </c>
    </row>
    <row r="427" spans="1:17" x14ac:dyDescent="0.3">
      <c r="A427" s="2" t="s">
        <v>62</v>
      </c>
      <c r="B427" s="2" t="s">
        <v>43</v>
      </c>
      <c r="C427">
        <v>70153</v>
      </c>
      <c r="D427">
        <v>143284</v>
      </c>
      <c r="E427">
        <v>80.585840318220306</v>
      </c>
      <c r="F427">
        <v>-95.274400714334703</v>
      </c>
      <c r="G427">
        <v>8.02</v>
      </c>
      <c r="H427">
        <v>89.094637091571599</v>
      </c>
      <c r="I427">
        <v>143284</v>
      </c>
      <c r="J427">
        <v>213437</v>
      </c>
      <c r="K427" s="1">
        <f t="shared" si="42"/>
        <v>0.67131753163697017</v>
      </c>
      <c r="L427" s="1">
        <f t="shared" si="43"/>
        <v>1.8666358539077205E-3</v>
      </c>
      <c r="M427" s="1">
        <f t="shared" si="44"/>
        <v>0.71653118172139052</v>
      </c>
      <c r="N427" s="1">
        <f t="shared" si="45"/>
        <v>0.14680436467884314</v>
      </c>
      <c r="O427" s="1">
        <f t="shared" si="46"/>
        <v>0.65096251266464022</v>
      </c>
      <c r="P427" s="1">
        <f t="shared" si="47"/>
        <v>6.4571482684706609E-3</v>
      </c>
      <c r="Q427">
        <f t="shared" si="48"/>
        <v>0.27488895700829508</v>
      </c>
    </row>
    <row r="428" spans="1:17" x14ac:dyDescent="0.3">
      <c r="A428" s="2" t="s">
        <v>62</v>
      </c>
      <c r="B428" s="2" t="s">
        <v>44</v>
      </c>
      <c r="C428">
        <v>438795</v>
      </c>
      <c r="D428">
        <v>121075</v>
      </c>
      <c r="E428">
        <v>249.87943629771101</v>
      </c>
      <c r="F428">
        <v>-61.563294182292701</v>
      </c>
      <c r="G428">
        <v>4.0199999999999996</v>
      </c>
      <c r="H428">
        <v>52.464805897551102</v>
      </c>
      <c r="I428">
        <v>121075</v>
      </c>
      <c r="J428">
        <v>559870</v>
      </c>
      <c r="K428" s="1">
        <f t="shared" si="42"/>
        <v>0.21625555932627216</v>
      </c>
      <c r="L428" s="1">
        <f t="shared" si="43"/>
        <v>7.6727425068034122E-2</v>
      </c>
      <c r="M428" s="1">
        <f t="shared" si="44"/>
        <v>0.60446469570131756</v>
      </c>
      <c r="N428" s="1">
        <f t="shared" si="45"/>
        <v>0.99952298392938888</v>
      </c>
      <c r="O428" s="1">
        <f t="shared" si="46"/>
        <v>0.44832826747720356</v>
      </c>
      <c r="P428" s="1">
        <f t="shared" si="47"/>
        <v>0.10301053797369968</v>
      </c>
      <c r="Q428">
        <f t="shared" si="48"/>
        <v>0.43300925003010943</v>
      </c>
    </row>
    <row r="429" spans="1:17" x14ac:dyDescent="0.3">
      <c r="A429" s="2" t="s">
        <v>62</v>
      </c>
      <c r="B429" s="2" t="s">
        <v>45</v>
      </c>
      <c r="C429">
        <v>1667393</v>
      </c>
      <c r="D429">
        <v>84612</v>
      </c>
      <c r="E429">
        <v>171.803162662207</v>
      </c>
      <c r="F429">
        <v>-17.302012500858499</v>
      </c>
      <c r="G429">
        <v>11.6</v>
      </c>
      <c r="H429">
        <v>16.8731220470615</v>
      </c>
      <c r="I429">
        <v>84612</v>
      </c>
      <c r="J429">
        <v>1752005</v>
      </c>
      <c r="K429" s="1">
        <f t="shared" si="42"/>
        <v>4.8294382721510501E-2</v>
      </c>
      <c r="L429" s="1">
        <f t="shared" si="43"/>
        <v>0.3262210148025117</v>
      </c>
      <c r="M429" s="1">
        <f t="shared" si="44"/>
        <v>0.4204726078202819</v>
      </c>
      <c r="N429" s="1">
        <f t="shared" si="45"/>
        <v>0.60625889224596607</v>
      </c>
      <c r="O429" s="1">
        <f t="shared" si="46"/>
        <v>0.83232016210739601</v>
      </c>
      <c r="P429" s="1">
        <f t="shared" si="47"/>
        <v>0.22978112543508863</v>
      </c>
      <c r="Q429">
        <f t="shared" si="48"/>
        <v>0.44675741433939126</v>
      </c>
    </row>
    <row r="430" spans="1:17" x14ac:dyDescent="0.3">
      <c r="A430" s="2" t="s">
        <v>62</v>
      </c>
      <c r="B430" s="2" t="s">
        <v>46</v>
      </c>
      <c r="C430">
        <v>4530240</v>
      </c>
      <c r="D430">
        <v>141172</v>
      </c>
      <c r="E430">
        <v>248.64002575666601</v>
      </c>
      <c r="F430">
        <v>219.11532385466001</v>
      </c>
      <c r="G430">
        <v>7.0000000000000007E-2</v>
      </c>
      <c r="H430">
        <v>11.083336212013201</v>
      </c>
      <c r="I430">
        <v>141172</v>
      </c>
      <c r="J430">
        <v>4671412</v>
      </c>
      <c r="K430" s="1">
        <f t="shared" si="42"/>
        <v>3.0220413014309163E-2</v>
      </c>
      <c r="L430" s="1">
        <f t="shared" si="43"/>
        <v>0.90758446720157127</v>
      </c>
      <c r="M430" s="1">
        <f t="shared" si="44"/>
        <v>0.70587404189184411</v>
      </c>
      <c r="N430" s="1">
        <f t="shared" si="45"/>
        <v>0.99328016984578649</v>
      </c>
      <c r="O430" s="1">
        <f t="shared" si="46"/>
        <v>0.24822695035460993</v>
      </c>
      <c r="P430" s="1">
        <f t="shared" si="47"/>
        <v>0.90691390327819799</v>
      </c>
      <c r="Q430">
        <f t="shared" si="48"/>
        <v>0.80829319332594907</v>
      </c>
    </row>
    <row r="431" spans="1:17" x14ac:dyDescent="0.3">
      <c r="A431" s="2" t="s">
        <v>62</v>
      </c>
      <c r="B431" s="2" t="s">
        <v>47</v>
      </c>
      <c r="C431">
        <v>4955630</v>
      </c>
      <c r="D431">
        <v>18550</v>
      </c>
      <c r="E431">
        <v>104.72077809809799</v>
      </c>
      <c r="F431">
        <v>43.114224878082197</v>
      </c>
      <c r="G431">
        <v>2.76</v>
      </c>
      <c r="H431">
        <v>1.4751989629868201</v>
      </c>
      <c r="I431">
        <v>18550</v>
      </c>
      <c r="J431">
        <v>4974180</v>
      </c>
      <c r="K431" s="1">
        <f t="shared" si="42"/>
        <v>3.7292578877322494E-3</v>
      </c>
      <c r="L431" s="1">
        <f t="shared" si="43"/>
        <v>0.99396917410907837</v>
      </c>
      <c r="M431" s="1">
        <f t="shared" si="44"/>
        <v>8.7124136504236116E-2</v>
      </c>
      <c r="N431" s="1">
        <f t="shared" si="45"/>
        <v>0.26837016107109629</v>
      </c>
      <c r="O431" s="1">
        <f t="shared" si="46"/>
        <v>0.38449848024316102</v>
      </c>
      <c r="P431" s="1">
        <f t="shared" si="47"/>
        <v>0.40282179696059656</v>
      </c>
      <c r="Q431">
        <f t="shared" si="48"/>
        <v>0.50207630499883149</v>
      </c>
    </row>
    <row r="432" spans="1:17" x14ac:dyDescent="0.3">
      <c r="A432" s="2" t="s">
        <v>62</v>
      </c>
      <c r="B432" s="2" t="s">
        <v>48</v>
      </c>
      <c r="C432">
        <v>4029483</v>
      </c>
      <c r="D432">
        <v>178343</v>
      </c>
      <c r="E432">
        <v>160.03513453265401</v>
      </c>
      <c r="F432">
        <v>85.012706916683797</v>
      </c>
      <c r="G432">
        <v>13.65</v>
      </c>
      <c r="H432">
        <v>15.0409826992391</v>
      </c>
      <c r="I432">
        <v>178343</v>
      </c>
      <c r="J432">
        <v>4207826</v>
      </c>
      <c r="K432" s="1">
        <f t="shared" si="42"/>
        <v>4.2383644190610546E-2</v>
      </c>
      <c r="L432" s="1">
        <f t="shared" si="43"/>
        <v>0.80589484902323483</v>
      </c>
      <c r="M432" s="1">
        <f t="shared" si="44"/>
        <v>0.89343869369301177</v>
      </c>
      <c r="N432" s="1">
        <f t="shared" si="45"/>
        <v>0.54698425377027515</v>
      </c>
      <c r="O432" s="1">
        <f t="shared" si="46"/>
        <v>0.93617021276595735</v>
      </c>
      <c r="P432" s="1">
        <f t="shared" si="47"/>
        <v>0.52282499117451231</v>
      </c>
      <c r="Q432">
        <f t="shared" si="48"/>
        <v>0.76071924172948713</v>
      </c>
    </row>
    <row r="433" spans="1:17" x14ac:dyDescent="0.3">
      <c r="A433" s="2" t="s">
        <v>62</v>
      </c>
      <c r="B433" s="2" t="s">
        <v>49</v>
      </c>
      <c r="C433">
        <v>505555</v>
      </c>
      <c r="D433">
        <v>188170</v>
      </c>
      <c r="E433">
        <v>185.52019892608701</v>
      </c>
      <c r="F433">
        <v>-64.640428600865405</v>
      </c>
      <c r="G433">
        <v>3.24</v>
      </c>
      <c r="H433">
        <v>59.820303838313102</v>
      </c>
      <c r="I433">
        <v>188170</v>
      </c>
      <c r="J433">
        <v>693725</v>
      </c>
      <c r="K433" s="1">
        <f t="shared" si="42"/>
        <v>0.2712458106598436</v>
      </c>
      <c r="L433" s="1">
        <f t="shared" si="43"/>
        <v>9.0284497479574538E-2</v>
      </c>
      <c r="M433" s="1">
        <f t="shared" si="44"/>
        <v>0.94302567906467449</v>
      </c>
      <c r="N433" s="1">
        <f t="shared" si="45"/>
        <v>0.67535053245521803</v>
      </c>
      <c r="O433" s="1">
        <f t="shared" si="46"/>
        <v>0.40881458966565348</v>
      </c>
      <c r="P433" s="1">
        <f t="shared" si="47"/>
        <v>9.41971886281531E-2</v>
      </c>
      <c r="Q433">
        <f t="shared" si="48"/>
        <v>0.45272727820444397</v>
      </c>
    </row>
    <row r="435" spans="1:17" x14ac:dyDescent="0.3">
      <c r="A435">
        <f>MIN(C2:C433)</f>
        <v>60961</v>
      </c>
      <c r="B435">
        <f>MIN(D2:D433)</f>
        <v>1284</v>
      </c>
      <c r="C435">
        <f>MIN(E2:E433)</f>
        <v>51.440189876332198</v>
      </c>
      <c r="D435">
        <f>MIN(F2:F433)</f>
        <v>-97.528879959819093</v>
      </c>
      <c r="E435">
        <f>MIN(G2:G433)</f>
        <v>-4.83</v>
      </c>
    </row>
    <row r="436" spans="1:17" x14ac:dyDescent="0.3">
      <c r="A436">
        <f>MAX(C2:C433)</f>
        <v>4985328</v>
      </c>
      <c r="B436">
        <f>MAX(D2:D433)</f>
        <v>199461</v>
      </c>
      <c r="C436">
        <f>MAX(E2:E433)</f>
        <v>249.97414018256899</v>
      </c>
      <c r="D436">
        <f>MAX(F2:F433)</f>
        <v>251.615843337413</v>
      </c>
      <c r="E436">
        <f>MAX(G2:G433)</f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 guru bharan K.M</cp:lastModifiedBy>
  <dcterms:created xsi:type="dcterms:W3CDTF">2015-06-05T18:17:20Z</dcterms:created>
  <dcterms:modified xsi:type="dcterms:W3CDTF">2026-04-23T21:35:32Z</dcterms:modified>
</cp:coreProperties>
</file>